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7795" windowHeight="12855" activeTab="1"/>
  </bookViews>
  <sheets>
    <sheet name="Admin" sheetId="3" r:id="rId1"/>
    <sheet name="POS" sheetId="1" r:id="rId2"/>
    <sheet name="Products" sheetId="4" r:id="rId3"/>
    <sheet name="Orders" sheetId="2" r:id="rId4"/>
    <sheet name="Order Items" sheetId="5" r:id="rId5"/>
  </sheets>
  <definedNames>
    <definedName name="_xlnm._FilterDatabase" localSheetId="4" hidden="1">'Order Items'!$A$2:$H$51</definedName>
    <definedName name="_xlnm._FilterDatabase" localSheetId="2" hidden="1">Products!$C$2:$D$71</definedName>
    <definedName name="Cashier">Admin!$G$10</definedName>
    <definedName name="_xlnm.Criteria" localSheetId="4">'Order Items'!$J$2:$J$3</definedName>
    <definedName name="_xlnm.Criteria" localSheetId="2">Products!$K$2:$K$3</definedName>
    <definedName name="_xlnm.Extract" localSheetId="4">'Order Items'!$L$2:$S$2</definedName>
    <definedName name="_xlnm.Extract" localSheetId="2">Products!$L$2</definedName>
    <definedName name="FooterMess">Admin!$G$9</definedName>
    <definedName name="Ord_ID">OFFSET(Orders!$A$2,1,,COUNTA(Orders!$A$2:$A$9999)-1,1)</definedName>
    <definedName name="Prod_UPC">OFFSET(Products!$A$2,1,,COUNTA(Products!$A$2:$A$9999)-1,1)</definedName>
    <definedName name="TaxName">Admin!$G$7</definedName>
    <definedName name="TaxRate">Admin!$G$8</definedName>
    <definedName name="Total">POS!$K$14</definedName>
    <definedName name="TotalRange">POS!$W$5:$X$9</definedName>
    <definedName name="TotalRng">POS!$O$17:$P$21</definedName>
  </definedNames>
  <calcPr calcId="145621"/>
</workbook>
</file>

<file path=xl/calcChain.xml><?xml version="1.0" encoding="utf-8"?>
<calcChain xmlns="http://schemas.openxmlformats.org/spreadsheetml/2006/main">
  <c r="P17" i="1" l="1"/>
  <c r="P20" i="1"/>
  <c r="P18" i="1"/>
  <c r="P19" i="1" s="1"/>
  <c r="O18" i="1"/>
  <c r="P16" i="1"/>
  <c r="P15" i="1"/>
  <c r="P14" i="1"/>
  <c r="P13" i="1"/>
  <c r="P12" i="1"/>
  <c r="P11" i="1"/>
  <c r="H51" i="5"/>
  <c r="H50" i="5"/>
  <c r="H49" i="5"/>
  <c r="B3" i="1"/>
  <c r="B2" i="1"/>
  <c r="H48" i="5"/>
  <c r="H47" i="5"/>
  <c r="H46" i="5"/>
  <c r="H45" i="5"/>
  <c r="H44" i="5"/>
  <c r="H43" i="5"/>
  <c r="H42" i="5"/>
  <c r="W6" i="1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  <c r="H6" i="5"/>
  <c r="H5" i="5"/>
  <c r="H4" i="5"/>
  <c r="H3" i="5"/>
  <c r="P2" i="1"/>
  <c r="K14" i="1" l="1"/>
  <c r="X8" i="1"/>
  <c r="X6" i="1" l="1"/>
  <c r="X7" i="1" s="1"/>
  <c r="K20" i="1" l="1"/>
  <c r="P21" i="1" s="1"/>
  <c r="X9" i="1" l="1"/>
</calcChain>
</file>

<file path=xl/sharedStrings.xml><?xml version="1.0" encoding="utf-8"?>
<sst xmlns="http://schemas.openxmlformats.org/spreadsheetml/2006/main" count="830" uniqueCount="339">
  <si>
    <t>MOBILE SCANNING POINT OF SALE</t>
  </si>
  <si>
    <t>heinz_bakedbeans_415g.png</t>
  </si>
  <si>
    <t>PACK</t>
  </si>
  <si>
    <t xml:space="preserve"> UK EU </t>
  </si>
  <si>
    <t xml:space="preserve">HEINZ </t>
  </si>
  <si>
    <t>CONDIMENTS</t>
  </si>
  <si>
    <t>2381HZFH</t>
  </si>
  <si>
    <t>Heinz_PeeledTomatoes.png</t>
  </si>
  <si>
    <t xml:space="preserve"> USA </t>
  </si>
  <si>
    <t xml:space="preserve"> BELL ORTO </t>
  </si>
  <si>
    <t>TOMATOES</t>
  </si>
  <si>
    <t>2460HZFH</t>
  </si>
  <si>
    <t>Heinz_Mayo_54ml.png</t>
  </si>
  <si>
    <t>USA</t>
  </si>
  <si>
    <t>HEINZ</t>
  </si>
  <si>
    <t>GROCERIES</t>
  </si>
  <si>
    <t>3060HZFH</t>
  </si>
  <si>
    <t>Heinz_Ketchup_54ml.png</t>
  </si>
  <si>
    <t>2450HZFH</t>
  </si>
  <si>
    <t>Heinz_Mayo_3kg.png</t>
  </si>
  <si>
    <t>MALAYSIA</t>
  </si>
  <si>
    <t>3852HZFH</t>
  </si>
  <si>
    <t>Heiz_BigTomatoSauce_950g.png</t>
  </si>
  <si>
    <t>THAILAND</t>
  </si>
  <si>
    <t>2332HZFH</t>
  </si>
  <si>
    <t>heinz_bbqsauce_480g.png</t>
  </si>
  <si>
    <t>NETHERLAND</t>
  </si>
  <si>
    <t>2391HZFH</t>
  </si>
  <si>
    <t>Heinz_BakedBeans_2.95g.png</t>
  </si>
  <si>
    <t>NEW ZEALAN</t>
  </si>
  <si>
    <t>2360HZFH</t>
  </si>
  <si>
    <t>heinz_tomatopst_3.15kg.png</t>
  </si>
  <si>
    <t>2420HZFH</t>
  </si>
  <si>
    <t>Heinz_TomatoKet_567g.png</t>
  </si>
  <si>
    <t>3040HZFH</t>
  </si>
  <si>
    <t>Heinz_TomatoKet_300g.png</t>
  </si>
  <si>
    <t>2320HZFH</t>
  </si>
  <si>
    <t>Heinz_TomatoKet_9g.png</t>
  </si>
  <si>
    <t>2340HZFH</t>
  </si>
  <si>
    <t>Heinz_ChiliSauce_3.3kg.png</t>
  </si>
  <si>
    <t>3010HZFH</t>
  </si>
  <si>
    <t>Heinz_ChiliSauce_300g.png</t>
  </si>
  <si>
    <t>2350HZFH</t>
  </si>
  <si>
    <t>Heinz_ChiliSauce_9g.png</t>
  </si>
  <si>
    <t>2310HZFH</t>
  </si>
  <si>
    <t>Heinz_YellowMustard.png</t>
  </si>
  <si>
    <t>2440HZFH</t>
  </si>
  <si>
    <t>Heinz_RWVinegar.png</t>
  </si>
  <si>
    <t>VINEGAR</t>
  </si>
  <si>
    <t>3360HZFH</t>
  </si>
  <si>
    <t>Heinz_ACVinegar_3.78L.png</t>
  </si>
  <si>
    <t>3350HZFH</t>
  </si>
  <si>
    <t>Heinz_ACVinegar_.946L.png</t>
  </si>
  <si>
    <t>3340HZFH</t>
  </si>
  <si>
    <t>Heinz_DWVinegar.png</t>
  </si>
  <si>
    <t>3320HZFH</t>
  </si>
  <si>
    <t>CR_SansaDiOliva_5L.png</t>
  </si>
  <si>
    <t>ITALY</t>
  </si>
  <si>
    <t>CASA RINALDI</t>
  </si>
  <si>
    <t>6690AIFO</t>
  </si>
  <si>
    <t>CR_EVOO_5L.png</t>
  </si>
  <si>
    <t>6660AIFO</t>
  </si>
  <si>
    <t>CR_EVOO_1L.png</t>
  </si>
  <si>
    <t>6620AIFO</t>
  </si>
  <si>
    <t>nz_frzn_wholemussels.png</t>
  </si>
  <si>
    <t>NELSON</t>
  </si>
  <si>
    <t>MUSSELS</t>
  </si>
  <si>
    <t>8902NZFZ</t>
  </si>
  <si>
    <t>nz_gs_mussels_lrg.png</t>
  </si>
  <si>
    <t>PURE AOTEAROA</t>
  </si>
  <si>
    <t>8901NZFZ</t>
  </si>
  <si>
    <t>nz_gs_mussels_mid.png</t>
  </si>
  <si>
    <t>8900NZFZ</t>
  </si>
  <si>
    <t>CR_Mortadella.png</t>
  </si>
  <si>
    <t>KG</t>
  </si>
  <si>
    <t>COLD CUTS</t>
  </si>
  <si>
    <t>2907CAFG</t>
  </si>
  <si>
    <t>CR_ProsCrudo_1.5kg.png</t>
  </si>
  <si>
    <t>2902CAFO</t>
  </si>
  <si>
    <t>Zelachi_Cheddar_Block_2kg.png</t>
  </si>
  <si>
    <t>BOTTEGA ZELACHI</t>
  </si>
  <si>
    <t xml:space="preserve">CHEESE </t>
  </si>
  <si>
    <t>DAIRY</t>
  </si>
  <si>
    <t>5410NVCR</t>
  </si>
  <si>
    <t>bottega_shreddedmozza_1kg.png</t>
  </si>
  <si>
    <t>AUSTRALIA</t>
  </si>
  <si>
    <t>5461NVCR</t>
  </si>
  <si>
    <t>virgilio_mascarpone_500g.png</t>
  </si>
  <si>
    <t>VIRGILIO</t>
  </si>
  <si>
    <t>2960AIFN</t>
  </si>
  <si>
    <t>pb_goatcheese_100g.png</t>
  </si>
  <si>
    <t>FRANCE EU</t>
  </si>
  <si>
    <t>PAYSAN BRETON</t>
  </si>
  <si>
    <t>1643LBCN</t>
  </si>
  <si>
    <t>PB_HerbGoat_100g.png</t>
  </si>
  <si>
    <t>1642LBCN</t>
  </si>
  <si>
    <t>PB_PepperGoat_100g.png</t>
  </si>
  <si>
    <t>1641LBCN</t>
  </si>
  <si>
    <t>arla_apetina_cubes_200g.png</t>
  </si>
  <si>
    <t>DENMARK</t>
  </si>
  <si>
    <t>ARLA</t>
  </si>
  <si>
    <t>1853ARCN</t>
  </si>
  <si>
    <t>PB_ML_NaturalCheese_150g.png</t>
  </si>
  <si>
    <t>1630LBCN</t>
  </si>
  <si>
    <t>PB_Camembert_125g.png</t>
  </si>
  <si>
    <t>GERMANY EU</t>
  </si>
  <si>
    <t>1480LBCN</t>
  </si>
  <si>
    <t>PB_Camembert_250g.png</t>
  </si>
  <si>
    <t>1410LBCN</t>
  </si>
  <si>
    <t>PB_Brie_1kg.png</t>
  </si>
  <si>
    <t>1680LBFN</t>
  </si>
  <si>
    <t>PB_Brie_125g.png</t>
  </si>
  <si>
    <t>1150LBCN</t>
  </si>
  <si>
    <t>PB_PepperBrie_125g.png</t>
  </si>
  <si>
    <t>1682LBCN</t>
  </si>
  <si>
    <t>PB_EmmentalPortion_220g.png</t>
  </si>
  <si>
    <t>1423LBCN</t>
  </si>
  <si>
    <t>PB_ShredEmmental_200g.png</t>
  </si>
  <si>
    <t>1422LBCN</t>
  </si>
  <si>
    <t>PB_EmmentalSlices_160g.png</t>
  </si>
  <si>
    <t>1981LBCP</t>
  </si>
  <si>
    <t>PB_GoudaSlices_160g.png</t>
  </si>
  <si>
    <t>1991LBCP</t>
  </si>
  <si>
    <t>dr_cl_cheese_1kg.png</t>
  </si>
  <si>
    <t>DAIRYMONT</t>
  </si>
  <si>
    <t>1950BGFP</t>
  </si>
  <si>
    <t>Arla_MildCheddar_2.5kg.png</t>
  </si>
  <si>
    <t>UK EU</t>
  </si>
  <si>
    <t>1839ARFN</t>
  </si>
  <si>
    <t>arla_mozzarella_2.3kg.png</t>
  </si>
  <si>
    <t>1843ARFN</t>
  </si>
  <si>
    <t>PB_SkimmedMilk_1L.png</t>
  </si>
  <si>
    <t>MILK</t>
  </si>
  <si>
    <t>2520LBFM</t>
  </si>
  <si>
    <t>PB_CreamMilk_1L.png</t>
  </si>
  <si>
    <t>2510LBFM</t>
  </si>
  <si>
    <t>cdf_semiskimmed_1L.png</t>
  </si>
  <si>
    <t>CTN</t>
  </si>
  <si>
    <t xml:space="preserve">CREMIERE DE FRANCE </t>
  </si>
  <si>
    <t>2571LBFM</t>
  </si>
  <si>
    <t>PB_WhippingCream_200ml.png</t>
  </si>
  <si>
    <t>CREAM</t>
  </si>
  <si>
    <t>1556LBCC</t>
  </si>
  <si>
    <t>PB_WhippedCream_250g.png</t>
  </si>
  <si>
    <t>BELGIUM EU</t>
  </si>
  <si>
    <t>1553LBCC</t>
  </si>
  <si>
    <t>PB_WhippingCream_1L.png</t>
  </si>
  <si>
    <t>1550LBFC</t>
  </si>
  <si>
    <t>PB_LightCream_1L.png</t>
  </si>
  <si>
    <t>1554LBFC</t>
  </si>
  <si>
    <t>Zelachi_PalffyMarg_5kg.png</t>
  </si>
  <si>
    <t>SINGAPORE</t>
  </si>
  <si>
    <t>VIVO</t>
  </si>
  <si>
    <t>5490NVCR</t>
  </si>
  <si>
    <t>zelachi_mini_usbutter_8g.png</t>
  </si>
  <si>
    <t>ZELACHI</t>
  </si>
  <si>
    <t>BUTTER</t>
  </si>
  <si>
    <t>1440KTFB</t>
  </si>
  <si>
    <t>PICTURE</t>
  </si>
  <si>
    <t>Lurpak_USButter_100g.png</t>
  </si>
  <si>
    <t>LURPAK</t>
  </si>
  <si>
    <t>1111ARCB</t>
  </si>
  <si>
    <t>PRICE</t>
  </si>
  <si>
    <t>PB_SaltButter_Foil_250g.png</t>
  </si>
  <si>
    <t>1200LBCB</t>
  </si>
  <si>
    <t>UOM</t>
  </si>
  <si>
    <t>pb_us_butter_foil_250g.png</t>
  </si>
  <si>
    <t>1190LBCB</t>
  </si>
  <si>
    <t>ORIGIN</t>
  </si>
  <si>
    <t>PB_SaltButter_Tub_250g.png</t>
  </si>
  <si>
    <t>1460LBCB</t>
  </si>
  <si>
    <t>BRAND</t>
  </si>
  <si>
    <t>PB_USButter_Tub_250g.png</t>
  </si>
  <si>
    <t>1450LBCB</t>
  </si>
  <si>
    <t>TYPE</t>
  </si>
  <si>
    <t>PB_PastryButter_2kg.png</t>
  </si>
  <si>
    <t>1210LBFB</t>
  </si>
  <si>
    <t>CATEGORY</t>
  </si>
  <si>
    <t>Zelachi_USCreamButter_1kg.png</t>
  </si>
  <si>
    <t>5440NVCR</t>
  </si>
  <si>
    <t>Zelachi_Dan_USButter_25kg.png</t>
  </si>
  <si>
    <t>5432NVCR</t>
  </si>
  <si>
    <t>RESULTS</t>
  </si>
  <si>
    <t>CRITERIA</t>
  </si>
  <si>
    <t>PB PastryButter 2kg</t>
  </si>
  <si>
    <t>PB SaltButter Tub 250g</t>
  </si>
  <si>
    <t>pb us butter foil 250g</t>
  </si>
  <si>
    <t>PB SaltButter Foil 250g</t>
  </si>
  <si>
    <t>zelachi mini usbutter 8g</t>
  </si>
  <si>
    <t>Zelachi PalffyMarg 5kg</t>
  </si>
  <si>
    <t>PB LightCream 1L</t>
  </si>
  <si>
    <t>PB WhippingCream 1L</t>
  </si>
  <si>
    <t>PB WhippedCream 250g</t>
  </si>
  <si>
    <t>cdf semiskimmed 1L</t>
  </si>
  <si>
    <t>PB CreamMilk 1L</t>
  </si>
  <si>
    <t>PB SkimmedMilk 1L</t>
  </si>
  <si>
    <t>arla mozzarella 2.3kg</t>
  </si>
  <si>
    <t>Arla MildCheddar 2.5kg</t>
  </si>
  <si>
    <t>dr cl cheese 1kg</t>
  </si>
  <si>
    <t>PB GoudaSlices 160g</t>
  </si>
  <si>
    <t>PB PepperBrie 125g</t>
  </si>
  <si>
    <t>PB Brie 125g</t>
  </si>
  <si>
    <t>PB Brie 1kg</t>
  </si>
  <si>
    <t>PB Camembert 250g</t>
  </si>
  <si>
    <t>PB Camembert 125g</t>
  </si>
  <si>
    <t>arla apetina cubes 200g</t>
  </si>
  <si>
    <t>PB PepperGoat 100g</t>
  </si>
  <si>
    <t>PB HerbGoat 100g</t>
  </si>
  <si>
    <t>pb goatcheese 100g</t>
  </si>
  <si>
    <t>virgilio mascarpone 500g</t>
  </si>
  <si>
    <t>CR ProsCrudo 1.5kg</t>
  </si>
  <si>
    <t>CR Mortadella</t>
  </si>
  <si>
    <t>nz gs mussels mid</t>
  </si>
  <si>
    <t>nz gs mussels lrg</t>
  </si>
  <si>
    <t>nz frzn wholemussels</t>
  </si>
  <si>
    <t>CR EVOO 1L</t>
  </si>
  <si>
    <t>CR EVOO 5L</t>
  </si>
  <si>
    <t>CR SansaDiOliva 5L</t>
  </si>
  <si>
    <t>Heinz DWVinegar</t>
  </si>
  <si>
    <t>Heinz ACVinegar .946L</t>
  </si>
  <si>
    <t>Heinz ACVinegar 3.78L</t>
  </si>
  <si>
    <t>Heinz RWVinegar</t>
  </si>
  <si>
    <t>Heinz YellowMustard</t>
  </si>
  <si>
    <t>Heinz ChiliSauce 9g</t>
  </si>
  <si>
    <t>Heinz ChiliSauce 300g</t>
  </si>
  <si>
    <t>Heinz ChiliSauce 3.3kg</t>
  </si>
  <si>
    <t>Heinz TomatoKet 9g</t>
  </si>
  <si>
    <t>Heinz TomatoKet 300g</t>
  </si>
  <si>
    <t>Heinz TomatoKet 567g</t>
  </si>
  <si>
    <t>heinz bbqsauce 480g</t>
  </si>
  <si>
    <t>Heinz Mayo 3kg</t>
  </si>
  <si>
    <t>Heinz Ketchup 54ml</t>
  </si>
  <si>
    <t>Heinz Mayo 54ml</t>
  </si>
  <si>
    <t>Heinz PeeledTomatoes</t>
  </si>
  <si>
    <t>Heinz bakedbeans 415g</t>
  </si>
  <si>
    <t>PB US Butter Tub 250g</t>
  </si>
  <si>
    <t>Lurpak US Butter 100g</t>
  </si>
  <si>
    <t>ADMIN</t>
  </si>
  <si>
    <t>Product Pic Folder</t>
  </si>
  <si>
    <t>SEAFOOD</t>
  </si>
  <si>
    <t>White Icons</t>
  </si>
  <si>
    <t>Green Icons</t>
  </si>
  <si>
    <t>PRODUCT CATEGORIES</t>
  </si>
  <si>
    <t>Category Name</t>
  </si>
  <si>
    <t xml:space="preserve">VEGETABLES </t>
  </si>
  <si>
    <t>Sel. Menu</t>
  </si>
  <si>
    <t>dairy.png</t>
  </si>
  <si>
    <t>dairy-green.png</t>
  </si>
  <si>
    <t>groceries.png</t>
  </si>
  <si>
    <t>groceries-green.png</t>
  </si>
  <si>
    <t>fish.png</t>
  </si>
  <si>
    <t>fish-green.png</t>
  </si>
  <si>
    <t>steak.png</t>
  </si>
  <si>
    <t>steak-green.png</t>
  </si>
  <si>
    <t>veggie.png</t>
  </si>
  <si>
    <t>veggie-green.png</t>
  </si>
  <si>
    <t>MEATS</t>
  </si>
  <si>
    <t>UNIQUE RESULTS</t>
  </si>
  <si>
    <t>MARGARINE</t>
  </si>
  <si>
    <t xml:space="preserve"> Icon Folder</t>
  </si>
  <si>
    <t>Item</t>
  </si>
  <si>
    <t>Qty</t>
  </si>
  <si>
    <t>Price</t>
  </si>
  <si>
    <t>Total</t>
  </si>
  <si>
    <t>ENTER SKU</t>
  </si>
  <si>
    <t>QTY</t>
  </si>
  <si>
    <t>PAY</t>
  </si>
  <si>
    <t>TOTAL</t>
  </si>
  <si>
    <t>CHANGE</t>
  </si>
  <si>
    <t>Fredders Groceries</t>
  </si>
  <si>
    <t>12345 Main St. CA, USA</t>
  </si>
  <si>
    <t>310 555-5555</t>
  </si>
  <si>
    <t>Receipt #:</t>
  </si>
  <si>
    <t>Date:</t>
  </si>
  <si>
    <t>Cashier:</t>
  </si>
  <si>
    <t>Subtotal:</t>
  </si>
  <si>
    <t>Total:</t>
  </si>
  <si>
    <t>Paid Amount:</t>
  </si>
  <si>
    <t>Change:</t>
  </si>
  <si>
    <t>SALES RECEIPT</t>
  </si>
  <si>
    <t>Cashier</t>
  </si>
  <si>
    <t>Order Row</t>
  </si>
  <si>
    <t>Next Ord #</t>
  </si>
  <si>
    <t>Ord. #</t>
  </si>
  <si>
    <t>Sales Order History</t>
  </si>
  <si>
    <t>Row</t>
  </si>
  <si>
    <t>Ord. Row</t>
  </si>
  <si>
    <t>Date &amp; time</t>
  </si>
  <si>
    <t>UPC</t>
  </si>
  <si>
    <t>UPC CODE</t>
  </si>
  <si>
    <t>DB Row</t>
  </si>
  <si>
    <t>Tax</t>
  </si>
  <si>
    <t>Tax Name</t>
  </si>
  <si>
    <t>Tax Rate</t>
  </si>
  <si>
    <t>Footer Message</t>
  </si>
  <si>
    <t>Thank You For Your Business</t>
  </si>
  <si>
    <t>Sel. Item Row</t>
  </si>
  <si>
    <t>PRODUCT ITEM LIST</t>
  </si>
  <si>
    <t>ITEM NAME</t>
  </si>
  <si>
    <t>Ord. ID</t>
  </si>
  <si>
    <t>Zelachi  Butter 2.5kg</t>
  </si>
  <si>
    <t>CreamButter 1kg</t>
  </si>
  <si>
    <t>PB ML Cheese 150g</t>
  </si>
  <si>
    <t>shreddedmozza 1kg</t>
  </si>
  <si>
    <t>Cheddar Block 2kg</t>
  </si>
  <si>
    <t>Tomato Sauce 950g</t>
  </si>
  <si>
    <t>Heinz Tomatopst 3.15kg</t>
  </si>
  <si>
    <t>Heinz Beans 2.95g</t>
  </si>
  <si>
    <t>PB Emmental 220g</t>
  </si>
  <si>
    <t>PB Emmental 200g</t>
  </si>
  <si>
    <t>PB Slices 160g</t>
  </si>
  <si>
    <t>PB Whip Cream 200ml</t>
  </si>
  <si>
    <t>Payment</t>
  </si>
  <si>
    <t>Change</t>
  </si>
  <si>
    <t>Item Name</t>
  </si>
  <si>
    <t>UPC Code</t>
  </si>
  <si>
    <t>ORDER DEFAULTS &amp; DETAILS</t>
  </si>
  <si>
    <t>Assigned Cashier</t>
  </si>
  <si>
    <t>Frida Fredders</t>
  </si>
  <si>
    <t>8852849147086</t>
  </si>
  <si>
    <t>GOODFARM</t>
  </si>
  <si>
    <t>CAN</t>
  </si>
  <si>
    <t>Whole Kernel Corn</t>
  </si>
  <si>
    <t>cornkernel.png</t>
  </si>
  <si>
    <t>cannedtuna.png</t>
  </si>
  <si>
    <t>CANNED</t>
  </si>
  <si>
    <t>VN</t>
  </si>
  <si>
    <t>Canned Tuna</t>
  </si>
  <si>
    <t>8935132500819</t>
  </si>
  <si>
    <t>041303003640</t>
  </si>
  <si>
    <t>Tomato Paste</t>
  </si>
  <si>
    <t>ESSENTIAL</t>
  </si>
  <si>
    <t>MEGA MARKET</t>
  </si>
  <si>
    <t>tomatopaste.png</t>
  </si>
  <si>
    <t>tomatoketchup.png</t>
  </si>
  <si>
    <t>Tomato Ketchup</t>
  </si>
  <si>
    <t>REMIA</t>
  </si>
  <si>
    <t>8710448569015</t>
  </si>
  <si>
    <t>OLIVE OIL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</si>
</sst>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&quot; &quot;#,##0.00&quot; &quot;;&quot;-&quot;#,##0.00&quot; &quot;;&quot; -&quot;00&quot; &quot;;&quot; &quot;@&quot; &quot;"/>
    <numFmt numFmtId="166" formatCode="&quot; &quot;#,##0&quot; &quot;;&quot;-&quot;#,##0&quot; &quot;;&quot; -&quot;00&quot; &quot;;&quot; &quot;@&quot; &quot;"/>
    <numFmt numFmtId="167" formatCode="[$-409]m/d/yy\ 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i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rgb="FF0563C1"/>
      <name val="Arial"/>
      <family val="2"/>
    </font>
    <font>
      <sz val="30"/>
      <color theme="1"/>
      <name val="Arial Rounded MT Bold"/>
      <family val="2"/>
    </font>
    <font>
      <sz val="30"/>
      <color theme="4" tint="-0.499984740745262"/>
      <name val="Arial Rounded MT Bold"/>
      <family val="2"/>
    </font>
    <font>
      <b/>
      <sz val="11"/>
      <color theme="4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30"/>
      <color theme="0"/>
      <name val="Arial Rounded MT Bold"/>
      <family val="2"/>
    </font>
    <font>
      <sz val="18"/>
      <color theme="1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12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patternFill patternType="solid">
        <fgColor rgb="FFF8CBAD"/>
        <bgColor rgb="FFF8CBAD"/>
      </patternFill>
    </fill>
    <fill>
      <patternFill patternType="solid">
        <fgColor rgb="FFFFFF00"/>
        <bgColor rgb="FFFFFF00"/>
      </patternFill>
    </fill>
    <fill>
      <patternFill patternType="solid">
        <fgColor rgb="FF9BC2E6"/>
        <bgColor rgb="FF9BC2E6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rgb="FFFFFF00"/>
        <bgColor indexed="64"/>
      </patternFill>
    </fill>
    <fill>
      <patternFill patternType="solid">
        <fgColor theme="7" tint="-0.499984740745262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gradientFill degree="270">
        <stop position="0">
          <color theme="9" tint="0.59999389629810485"/>
        </stop>
        <stop position="1">
          <color theme="9" tint="0.40000610370189521"/>
        </stop>
      </gradientFill>
    </fill>
    <fill>
      <gradientFill degree="90">
        <stop position="0">
          <color theme="9" tint="0.59999389629810485"/>
        </stop>
        <stop position="1">
          <color theme="9" tint="0.80001220740379042"/>
        </stop>
      </gradientFill>
    </fill>
  </fills>
  <borders count="32">
    <border>
      <left/>
      <right/>
      <top/>
      <bottom/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thin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thin">
        <color theme="8" tint="-0.24994659260841701"/>
      </bottom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8" tint="-0.24994659260841701"/>
      </left>
      <right style="hair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hair">
        <color theme="7" tint="-0.499984740745262"/>
      </right>
      <top/>
      <bottom/>
      <diagonal/>
    </border>
    <border>
      <left style="hair">
        <color theme="7" tint="-0.499984740745262"/>
      </left>
      <right/>
      <top/>
      <bottom/>
      <diagonal/>
    </border>
    <border>
      <left/>
      <right/>
      <top style="dashed">
        <color indexed="64"/>
      </top>
      <bottom/>
      <diagonal/>
    </border>
    <border>
      <left style="thin">
        <color theme="8" tint="-0.24994659260841701"/>
      </left>
      <right style="hair">
        <color theme="8" tint="-0.24994659260841701"/>
      </right>
      <top style="hair">
        <color theme="8" tint="-0.24994659260841701"/>
      </top>
      <bottom/>
      <diagonal/>
    </border>
    <border>
      <left style="hair">
        <color theme="8" tint="-0.24994659260841701"/>
      </left>
      <right style="hair">
        <color theme="8" tint="-0.24994659260841701"/>
      </right>
      <top style="hair">
        <color theme="8" tint="-0.24994659260841701"/>
      </top>
      <bottom/>
      <diagonal/>
    </border>
    <border>
      <left style="hair">
        <color theme="8" tint="-0.24994659260841701"/>
      </left>
      <right style="thin">
        <color theme="8" tint="-0.24994659260841701"/>
      </right>
      <top style="hair">
        <color theme="8" tint="-0.24994659260841701"/>
      </top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165" fontId="6" fillId="0" borderId="0" applyFont="0" applyFill="0" applyBorder="0" applyAlignment="0" applyProtection="0"/>
    <xf numFmtId="0" fontId="6" fillId="0" borderId="0"/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7" borderId="0" applyNumberFormat="0" applyFont="0" applyBorder="0" applyAlignment="0" applyProtection="0"/>
    <xf numFmtId="0" fontId="12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140">
    <xf numFmtId="0" fontId="0" fillId="0" borderId="0" xfId="0"/>
    <xf numFmtId="0" fontId="0" fillId="2" borderId="0" xfId="0" applyFill="1"/>
    <xf numFmtId="0" fontId="0" fillId="0" borderId="0" xfId="0" applyAlignment="1"/>
    <xf numFmtId="0" fontId="0" fillId="0" borderId="1" xfId="0" applyBorder="1" applyAlignment="1">
      <alignment horizontal="left"/>
    </xf>
    <xf numFmtId="164" fontId="5" fillId="0" borderId="2" xfId="1" applyNumberFormat="1" applyFont="1" applyBorder="1" applyAlignment="1">
      <alignment wrapText="1"/>
    </xf>
    <xf numFmtId="166" fontId="7" fillId="0" borderId="2" xfId="2" applyNumberFormat="1" applyFont="1" applyBorder="1" applyAlignment="1">
      <alignment horizontal="center" wrapText="1"/>
    </xf>
    <xf numFmtId="166" fontId="5" fillId="0" borderId="2" xfId="2" applyNumberFormat="1" applyFont="1" applyFill="1" applyBorder="1" applyAlignment="1">
      <alignment wrapText="1"/>
    </xf>
    <xf numFmtId="0" fontId="8" fillId="0" borderId="3" xfId="3" applyFont="1" applyBorder="1" applyAlignment="1">
      <alignment horizontal="center" wrapText="1"/>
    </xf>
    <xf numFmtId="0" fontId="0" fillId="0" borderId="4" xfId="0" applyBorder="1" applyAlignment="1">
      <alignment horizontal="left"/>
    </xf>
    <xf numFmtId="164" fontId="5" fillId="0" borderId="5" xfId="1" applyNumberFormat="1" applyFont="1" applyBorder="1" applyAlignment="1">
      <alignment wrapText="1"/>
    </xf>
    <xf numFmtId="166" fontId="7" fillId="0" borderId="5" xfId="2" applyNumberFormat="1" applyFont="1" applyBorder="1" applyAlignment="1">
      <alignment horizontal="center" wrapText="1"/>
    </xf>
    <xf numFmtId="166" fontId="5" fillId="0" borderId="5" xfId="2" applyNumberFormat="1" applyFont="1" applyFill="1" applyBorder="1" applyAlignment="1">
      <alignment wrapText="1"/>
    </xf>
    <xf numFmtId="0" fontId="8" fillId="0" borderId="6" xfId="3" applyFont="1" applyBorder="1" applyAlignment="1">
      <alignment horizontal="center" wrapText="1"/>
    </xf>
    <xf numFmtId="166" fontId="7" fillId="0" borderId="4" xfId="2" applyNumberFormat="1" applyFont="1" applyFill="1" applyBorder="1" applyAlignment="1">
      <alignment horizontal="left" wrapText="1"/>
    </xf>
    <xf numFmtId="166" fontId="5" fillId="0" borderId="5" xfId="2" applyNumberFormat="1" applyFont="1" applyFill="1" applyBorder="1" applyAlignment="1">
      <alignment horizontal="left" wrapText="1"/>
    </xf>
    <xf numFmtId="0" fontId="10" fillId="0" borderId="0" xfId="0" applyFont="1" applyAlignment="1">
      <alignment vertical="center"/>
    </xf>
    <xf numFmtId="0" fontId="9" fillId="3" borderId="7" xfId="3" applyFont="1" applyFill="1" applyBorder="1" applyAlignment="1">
      <alignment horizontal="center" vertical="center" wrapText="1"/>
    </xf>
    <xf numFmtId="0" fontId="0" fillId="9" borderId="0" xfId="0" applyFill="1"/>
    <xf numFmtId="0" fontId="0" fillId="10" borderId="0" xfId="0" applyFill="1"/>
    <xf numFmtId="0" fontId="13" fillId="11" borderId="0" xfId="0" applyFont="1" applyFill="1" applyAlignment="1"/>
    <xf numFmtId="0" fontId="0" fillId="11" borderId="0" xfId="0" applyFill="1"/>
    <xf numFmtId="0" fontId="0" fillId="12" borderId="0" xfId="0" applyFill="1"/>
    <xf numFmtId="0" fontId="0" fillId="10" borderId="0" xfId="0" applyFill="1" applyBorder="1"/>
    <xf numFmtId="0" fontId="0" fillId="10" borderId="0" xfId="0" applyFill="1" applyBorder="1" applyAlignment="1"/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right"/>
    </xf>
    <xf numFmtId="0" fontId="0" fillId="12" borderId="7" xfId="0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0" fillId="10" borderId="14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166" fontId="7" fillId="0" borderId="5" xfId="2" applyNumberFormat="1" applyFont="1" applyBorder="1" applyAlignment="1">
      <alignment horizontal="left" wrapText="1"/>
    </xf>
    <xf numFmtId="0" fontId="0" fillId="9" borderId="0" xfId="0" applyFill="1" applyBorder="1"/>
    <xf numFmtId="0" fontId="0" fillId="2" borderId="8" xfId="0" applyFill="1" applyBorder="1"/>
    <xf numFmtId="0" fontId="11" fillId="4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5" fillId="3" borderId="7" xfId="3" applyFont="1" applyFill="1" applyBorder="1" applyAlignment="1">
      <alignment horizontal="center" vertical="center"/>
    </xf>
    <xf numFmtId="0" fontId="5" fillId="3" borderId="7" xfId="3" applyFont="1" applyFill="1" applyBorder="1" applyAlignment="1">
      <alignment horizontal="center" vertical="center" wrapText="1"/>
    </xf>
    <xf numFmtId="0" fontId="7" fillId="3" borderId="7" xfId="3" applyFont="1" applyFill="1" applyBorder="1" applyAlignment="1">
      <alignment horizontal="center" vertical="center" wrapText="1"/>
    </xf>
    <xf numFmtId="0" fontId="0" fillId="8" borderId="0" xfId="0" applyFill="1" applyBorder="1"/>
    <xf numFmtId="0" fontId="0" fillId="8" borderId="0" xfId="0" applyFill="1" applyBorder="1" applyAlignment="1">
      <alignment horizontal="center"/>
    </xf>
    <xf numFmtId="0" fontId="0" fillId="10" borderId="22" xfId="0" applyFill="1" applyBorder="1"/>
    <xf numFmtId="0" fontId="0" fillId="14" borderId="0" xfId="0" applyFill="1" applyBorder="1"/>
    <xf numFmtId="0" fontId="0" fillId="14" borderId="0" xfId="0" applyFill="1"/>
    <xf numFmtId="0" fontId="0" fillId="14" borderId="22" xfId="0" applyFill="1" applyBorder="1"/>
    <xf numFmtId="0" fontId="4" fillId="14" borderId="0" xfId="0" applyFont="1" applyFill="1"/>
    <xf numFmtId="0" fontId="2" fillId="14" borderId="0" xfId="0" applyFont="1" applyFill="1"/>
    <xf numFmtId="44" fontId="0" fillId="8" borderId="0" xfId="1" applyFont="1" applyFill="1" applyBorder="1"/>
    <xf numFmtId="22" fontId="0" fillId="0" borderId="0" xfId="0" applyNumberFormat="1"/>
    <xf numFmtId="7" fontId="0" fillId="0" borderId="0" xfId="0" applyNumberFormat="1"/>
    <xf numFmtId="0" fontId="0" fillId="13" borderId="7" xfId="0" applyFill="1" applyBorder="1"/>
    <xf numFmtId="0" fontId="0" fillId="13" borderId="7" xfId="0" applyFill="1" applyBorder="1" applyAlignment="1">
      <alignment horizontal="left"/>
    </xf>
    <xf numFmtId="0" fontId="3" fillId="8" borderId="25" xfId="0" applyFont="1" applyFill="1" applyBorder="1" applyAlignment="1">
      <alignment horizontal="center"/>
    </xf>
    <xf numFmtId="0" fontId="0" fillId="8" borderId="23" xfId="0" applyFill="1" applyBorder="1" applyAlignment="1">
      <alignment horizontal="left"/>
    </xf>
    <xf numFmtId="0" fontId="0" fillId="10" borderId="22" xfId="0" applyFill="1" applyBorder="1" applyAlignment="1">
      <alignment horizontal="center"/>
    </xf>
    <xf numFmtId="0" fontId="0" fillId="10" borderId="24" xfId="0" applyFill="1" applyBorder="1" applyAlignment="1">
      <alignment horizontal="right"/>
    </xf>
    <xf numFmtId="0" fontId="0" fillId="8" borderId="24" xfId="0" applyFill="1" applyBorder="1" applyAlignment="1">
      <alignment horizontal="left"/>
    </xf>
    <xf numFmtId="7" fontId="0" fillId="8" borderId="0" xfId="1" applyNumberFormat="1" applyFont="1" applyFill="1" applyBorder="1" applyAlignment="1">
      <alignment horizontal="right"/>
    </xf>
    <xf numFmtId="0" fontId="0" fillId="9" borderId="9" xfId="0" applyFill="1" applyBorder="1"/>
    <xf numFmtId="0" fontId="0" fillId="9" borderId="11" xfId="0" applyFill="1" applyBorder="1"/>
    <xf numFmtId="0" fontId="0" fillId="9" borderId="0" xfId="0" applyFill="1" applyBorder="1" applyAlignment="1">
      <alignment horizontal="center"/>
    </xf>
    <xf numFmtId="7" fontId="0" fillId="9" borderId="0" xfId="1" applyNumberFormat="1" applyFont="1" applyFill="1" applyBorder="1" applyAlignment="1">
      <alignment horizontal="right"/>
    </xf>
    <xf numFmtId="44" fontId="0" fillId="9" borderId="0" xfId="1" applyFont="1" applyFill="1" applyBorder="1"/>
    <xf numFmtId="0" fontId="0" fillId="8" borderId="28" xfId="0" applyFill="1" applyBorder="1"/>
    <xf numFmtId="0" fontId="0" fillId="8" borderId="28" xfId="0" applyFill="1" applyBorder="1" applyAlignment="1">
      <alignment horizontal="center"/>
    </xf>
    <xf numFmtId="44" fontId="0" fillId="8" borderId="28" xfId="1" applyFont="1" applyFill="1" applyBorder="1"/>
    <xf numFmtId="0" fontId="0" fillId="2" borderId="8" xfId="0" applyFill="1" applyBorder="1" applyAlignment="1">
      <alignment horizontal="left"/>
    </xf>
    <xf numFmtId="0" fontId="14" fillId="11" borderId="0" xfId="0" applyFont="1" applyFill="1" applyAlignment="1">
      <alignment horizontal="center"/>
    </xf>
    <xf numFmtId="0" fontId="15" fillId="11" borderId="9" xfId="0" applyFont="1" applyFill="1" applyBorder="1" applyAlignment="1">
      <alignment horizontal="center"/>
    </xf>
    <xf numFmtId="0" fontId="15" fillId="11" borderId="10" xfId="0" applyFont="1" applyFill="1" applyBorder="1" applyAlignment="1">
      <alignment horizontal="center"/>
    </xf>
    <xf numFmtId="0" fontId="15" fillId="11" borderId="11" xfId="0" applyFont="1" applyFill="1" applyBorder="1" applyAlignment="1">
      <alignment horizontal="center"/>
    </xf>
    <xf numFmtId="0" fontId="0" fillId="8" borderId="9" xfId="0" applyFill="1" applyBorder="1" applyAlignment="1">
      <alignment horizontal="left"/>
    </xf>
    <xf numFmtId="0" fontId="0" fillId="8" borderId="11" xfId="0" applyFill="1" applyBorder="1" applyAlignment="1">
      <alignment horizontal="left"/>
    </xf>
    <xf numFmtId="0" fontId="0" fillId="8" borderId="7" xfId="0" applyFill="1" applyBorder="1" applyAlignment="1">
      <alignment horizontal="left"/>
    </xf>
    <xf numFmtId="0" fontId="16" fillId="9" borderId="26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right"/>
    </xf>
    <xf numFmtId="0" fontId="0" fillId="8" borderId="0" xfId="0" applyFill="1" applyBorder="1" applyAlignment="1">
      <alignment horizontal="left"/>
    </xf>
    <xf numFmtId="167" fontId="0" fillId="8" borderId="0" xfId="0" applyNumberFormat="1" applyFill="1" applyBorder="1" applyAlignment="1">
      <alignment horizontal="left"/>
    </xf>
    <xf numFmtId="44" fontId="18" fillId="9" borderId="27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/>
    </xf>
    <xf numFmtId="0" fontId="16" fillId="9" borderId="26" xfId="0" applyFont="1" applyFill="1" applyBorder="1" applyAlignment="1">
      <alignment horizontal="center" vertical="center" wrapText="1"/>
    </xf>
    <xf numFmtId="0" fontId="18" fillId="8" borderId="27" xfId="0" applyFont="1" applyFill="1" applyBorder="1" applyAlignment="1">
      <alignment horizontal="center" vertical="center"/>
    </xf>
    <xf numFmtId="0" fontId="3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/>
    </xf>
    <xf numFmtId="0" fontId="11" fillId="4" borderId="9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1" fillId="4" borderId="21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0" fontId="0" fillId="9" borderId="0" xfId="0" applyFill="1" applyAlignment="1">
      <alignment horizontal="center"/>
    </xf>
    <xf numFmtId="7" fontId="0" fillId="8" borderId="28" xfId="1" applyNumberFormat="1" applyFont="1" applyFill="1" applyBorder="1" applyAlignment="1">
      <alignment horizontal="right"/>
    </xf>
    <xf numFmtId="44" fontId="0" fillId="9" borderId="0" xfId="1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0" fillId="9" borderId="0" xfId="0" applyFill="1" applyAlignment="1">
      <alignment horizontal="right"/>
    </xf>
    <xf numFmtId="0" fontId="0" fillId="0" borderId="0" xfId="0" applyAlignment="1">
      <alignment horizontal="right"/>
    </xf>
    <xf numFmtId="44" fontId="0" fillId="9" borderId="0" xfId="1" applyNumberFormat="1" applyFont="1" applyFill="1" applyBorder="1"/>
    <xf numFmtId="44" fontId="0" fillId="9" borderId="0" xfId="1" applyFont="1" applyFill="1"/>
    <xf numFmtId="44" fontId="0" fillId="0" borderId="0" xfId="1" applyFont="1" applyAlignment="1">
      <alignment horizontal="right"/>
    </xf>
    <xf numFmtId="44" fontId="0" fillId="0" borderId="0" xfId="1" applyFont="1"/>
    <xf numFmtId="44" fontId="18" fillId="9" borderId="27" xfId="1" applyNumberFormat="1" applyFont="1" applyFill="1" applyBorder="1" applyAlignment="1">
      <alignment horizontal="center" vertical="center"/>
    </xf>
    <xf numFmtId="44" fontId="18" fillId="8" borderId="27" xfId="1" applyNumberFormat="1" applyFont="1" applyFill="1" applyBorder="1" applyAlignment="1">
      <alignment horizontal="center" vertical="center"/>
    </xf>
    <xf numFmtId="0" fontId="0" fillId="15" borderId="9" xfId="0" applyFill="1" applyBorder="1" applyAlignment="1">
      <alignment horizontal="center"/>
    </xf>
    <xf numFmtId="0" fontId="0" fillId="15" borderId="10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9" borderId="0" xfId="0" applyFont="1" applyFill="1"/>
    <xf numFmtId="49" fontId="8" fillId="0" borderId="6" xfId="3" applyNumberFormat="1" applyFont="1" applyBorder="1" applyAlignment="1">
      <alignment horizontal="center" wrapText="1"/>
    </xf>
    <xf numFmtId="49" fontId="0" fillId="0" borderId="0" xfId="0" applyNumberFormat="1"/>
    <xf numFmtId="49" fontId="0" fillId="9" borderId="0" xfId="0" applyNumberFormat="1" applyFill="1"/>
    <xf numFmtId="0" fontId="3" fillId="17" borderId="7" xfId="0" applyFont="1" applyFill="1" applyBorder="1" applyAlignment="1">
      <alignment horizontal="center"/>
    </xf>
    <xf numFmtId="0" fontId="3" fillId="18" borderId="7" xfId="0" applyFont="1" applyFill="1" applyBorder="1" applyAlignment="1">
      <alignment horizontal="center"/>
    </xf>
    <xf numFmtId="0" fontId="3" fillId="17" borderId="9" xfId="0" applyFont="1" applyFill="1" applyBorder="1" applyAlignment="1">
      <alignment horizontal="center"/>
    </xf>
    <xf numFmtId="0" fontId="3" fillId="17" borderId="10" xfId="0" applyFont="1" applyFill="1" applyBorder="1" applyAlignment="1">
      <alignment horizontal="center"/>
    </xf>
    <xf numFmtId="0" fontId="3" fillId="17" borderId="11" xfId="0" applyFont="1" applyFill="1" applyBorder="1" applyAlignment="1">
      <alignment horizontal="center"/>
    </xf>
    <xf numFmtId="7" fontId="18" fillId="8" borderId="27" xfId="1" applyNumberFormat="1" applyFont="1" applyFill="1" applyBorder="1" applyAlignment="1">
      <alignment horizontal="center" vertical="center"/>
    </xf>
    <xf numFmtId="49" fontId="8" fillId="0" borderId="29" xfId="3" applyNumberFormat="1" applyFont="1" applyBorder="1" applyAlignment="1">
      <alignment horizontal="center" wrapText="1"/>
    </xf>
    <xf numFmtId="166" fontId="5" fillId="0" borderId="30" xfId="2" applyNumberFormat="1" applyFont="1" applyFill="1" applyBorder="1" applyAlignment="1">
      <alignment wrapText="1"/>
    </xf>
    <xf numFmtId="166" fontId="7" fillId="0" borderId="30" xfId="2" applyNumberFormat="1" applyFont="1" applyBorder="1" applyAlignment="1">
      <alignment horizontal="left" wrapText="1"/>
    </xf>
    <xf numFmtId="166" fontId="7" fillId="0" borderId="30" xfId="2" applyNumberFormat="1" applyFont="1" applyBorder="1" applyAlignment="1">
      <alignment horizontal="center" wrapText="1"/>
    </xf>
    <xf numFmtId="164" fontId="5" fillId="0" borderId="30" xfId="1" applyNumberFormat="1" applyFont="1" applyBorder="1" applyAlignment="1">
      <alignment wrapText="1"/>
    </xf>
    <xf numFmtId="0" fontId="0" fillId="0" borderId="31" xfId="0" applyBorder="1" applyAlignment="1">
      <alignment horizontal="left"/>
    </xf>
    <xf numFmtId="49" fontId="20" fillId="0" borderId="6" xfId="0" applyNumberFormat="1" applyFont="1" applyBorder="1"/>
    <xf numFmtId="166" fontId="7" fillId="0" borderId="5" xfId="2" applyNumberFormat="1" applyFont="1" applyFill="1" applyBorder="1" applyAlignment="1">
      <alignment horizontal="left" wrapText="1"/>
    </xf>
    <xf numFmtId="166" fontId="7" fillId="0" borderId="5" xfId="2" applyNumberFormat="1" applyFont="1" applyFill="1" applyBorder="1" applyAlignment="1">
      <alignment horizontal="center" wrapText="1"/>
    </xf>
    <xf numFmtId="164" fontId="5" fillId="0" borderId="5" xfId="1" applyNumberFormat="1" applyFont="1" applyFill="1" applyBorder="1" applyAlignment="1">
      <alignment wrapText="1"/>
    </xf>
    <xf numFmtId="0" fontId="0" fillId="0" borderId="4" xfId="0" applyFill="1" applyBorder="1" applyAlignment="1">
      <alignment horizontal="left"/>
    </xf>
    <xf numFmtId="0" fontId="0" fillId="0" borderId="4" xfId="0" applyBorder="1"/>
    <xf numFmtId="49" fontId="20" fillId="0" borderId="3" xfId="0" applyNumberFormat="1" applyFont="1" applyBorder="1"/>
    <xf numFmtId="166" fontId="7" fillId="0" borderId="2" xfId="2" applyNumberFormat="1" applyFont="1" applyFill="1" applyBorder="1" applyAlignment="1">
      <alignment horizontal="left" wrapText="1"/>
    </xf>
    <xf numFmtId="166" fontId="7" fillId="0" borderId="2" xfId="2" applyNumberFormat="1" applyFont="1" applyFill="1" applyBorder="1" applyAlignment="1">
      <alignment horizontal="center" wrapText="1"/>
    </xf>
    <xf numFmtId="164" fontId="5" fillId="0" borderId="2" xfId="1" applyNumberFormat="1" applyFont="1" applyFill="1" applyBorder="1" applyAlignment="1">
      <alignment wrapText="1"/>
    </xf>
    <xf numFmtId="0" fontId="0" fillId="0" borderId="1" xfId="0" applyFill="1" applyBorder="1" applyAlignment="1">
      <alignment horizontal="left"/>
    </xf>
    <xf numFmtId="49" fontId="18" fillId="8" borderId="27" xfId="0" applyNumberFormat="1" applyFont="1" applyFill="1" applyBorder="1" applyAlignment="1">
      <alignment horizontal="center"/>
    </xf>
    <xf numFmtId="0" fontId="3" fillId="17" borderId="7" xfId="0" applyFont="1" applyFill="1" applyBorder="1" applyAlignment="1">
      <alignment horizontal="center"/>
    </xf>
  </cellXfs>
  <cellStyles count="9">
    <cellStyle name="cf1" xfId="4"/>
    <cellStyle name="cf2" xfId="5"/>
    <cellStyle name="cf3" xfId="6"/>
    <cellStyle name="Comma 2" xfId="2"/>
    <cellStyle name="Currency" xfId="1" builtinId="4"/>
    <cellStyle name="Hyperlink" xfId="7"/>
    <cellStyle name="Normal" xfId="0" builtinId="0"/>
    <cellStyle name="Normal 2" xfId="3"/>
    <cellStyle name="Percent 2" xfId="8"/>
  </cellStyles>
  <dxfs count="6">
    <dxf>
      <fill>
        <patternFill>
          <bgColor rgb="FFEEF5F6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  <dxf>
      <font>
        <b/>
        <i val="0"/>
      </font>
      <border>
        <top style="thin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E7F2FD"/>
        </patternFill>
      </fill>
    </dxf>
  </dxfs>
  <tableStyles count="0" defaultTableStyle="TableStyleMedium2" defaultPivotStyle="PivotStyleLight16"/>
  <colors>
    <mruColors>
      <color rgb="FFCBFFBD"/>
      <color rgb="FFBDFFAB"/>
      <color rgb="FFE5E5FF"/>
      <color rgb="FF9999FF"/>
      <color rgb="FF0B5395"/>
      <color rgb="FFE7F2FD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neilr\Dropbox\Excel4Freelancers\FreeTrainingVideos\Mobile%20Scanning%20POS\Icons\dairy-green.png" TargetMode="External"/><Relationship Id="rId13" Type="http://schemas.openxmlformats.org/officeDocument/2006/relationships/image" Target="file:///C:\Users\neilr\Dropbox\Excel4Freelancers\FreeTrainingVideos\Mobile%20Scanning%20POS\Icons\groceries.png" TargetMode="External"/><Relationship Id="rId3" Type="http://schemas.openxmlformats.org/officeDocument/2006/relationships/image" Target="../media/image3.png"/><Relationship Id="rId7" Type="http://schemas.openxmlformats.org/officeDocument/2006/relationships/image" Target="file:///C:\Users\neilr\Dropbox\Excel4Freelancers\FreeTrainingVideos\Mobile%20Scanning%20POS\Icons\dairy.png" TargetMode="External"/><Relationship Id="rId12" Type="http://schemas.openxmlformats.org/officeDocument/2006/relationships/image" Target="file:///C:\Users\neilr\Dropbox\Excel4Freelancers\FreeTrainingVideos\Mobile%20Scanning%20POS\Icons\fish-green.png" TargetMode="External"/><Relationship Id="rId17" Type="http://schemas.openxmlformats.org/officeDocument/2006/relationships/image" Target="file:///C:\Users\neilr\Dropbox\Excel4Freelancers\FreeTrainingVideos\Mobile%20Scanning%20POS\Product%20Pictures\cornkernel.png" TargetMode="External"/><Relationship Id="rId2" Type="http://schemas.openxmlformats.org/officeDocument/2006/relationships/image" Target="../media/image2.png"/><Relationship Id="rId16" Type="http://schemas.openxmlformats.org/officeDocument/2006/relationships/image" Target="file:///C:\Users\neilr\Dropbox\Excel4Freelancers\FreeTrainingVideos\Mobile%20Scanning%20POS\Icons\veggie-green.png" TargetMode="Externa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file:///C:\Users\neilr\Dropbox\Excel4Freelancers\FreeTrainingVideos\Mobile%20Scanning%20POS\Icons\fish.png" TargetMode="External"/><Relationship Id="rId5" Type="http://schemas.openxmlformats.org/officeDocument/2006/relationships/image" Target="../media/image5.png"/><Relationship Id="rId15" Type="http://schemas.openxmlformats.org/officeDocument/2006/relationships/image" Target="file:///C:\Users\neilr\Dropbox\Excel4Freelancers\FreeTrainingVideos\Mobile%20Scanning%20POS\Icons\veggie.png" TargetMode="External"/><Relationship Id="rId10" Type="http://schemas.openxmlformats.org/officeDocument/2006/relationships/image" Target="file:///C:\Users\neilr\Dropbox\Excel4Freelancers\FreeTrainingVideos\Mobile%20Scanning%20POS\Icons\steak-green.png" TargetMode="External"/><Relationship Id="rId4" Type="http://schemas.openxmlformats.org/officeDocument/2006/relationships/image" Target="../media/image4.png"/><Relationship Id="rId9" Type="http://schemas.openxmlformats.org/officeDocument/2006/relationships/image" Target="file:///C:\Users\neilr\Dropbox\Excel4Freelancers\FreeTrainingVideos\Mobile%20Scanning%20POS\Icons\steak.png" TargetMode="External"/><Relationship Id="rId14" Type="http://schemas.openxmlformats.org/officeDocument/2006/relationships/image" Target="file:///C:\Users\neilr\Dropbox\Excel4Freelancers\FreeTrainingVideos\Mobile%20Scanning%20POS\Icons\groceries-green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771525</xdr:colOff>
      <xdr:row>0</xdr:row>
      <xdr:rowOff>28576</xdr:rowOff>
    </xdr:from>
    <xdr:to>
      <xdr:col>2</xdr:col>
      <xdr:colOff>1190625</xdr:colOff>
      <xdr:row>0</xdr:row>
      <xdr:rowOff>447676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0725" y="28576"/>
          <a:ext cx="4191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106069</xdr:rowOff>
    </xdr:from>
    <xdr:to>
      <xdr:col>1</xdr:col>
      <xdr:colOff>93569</xdr:colOff>
      <xdr:row>0</xdr:row>
      <xdr:rowOff>409575</xdr:rowOff>
    </xdr:to>
    <xdr:sp macro="" textlink="">
      <xdr:nvSpPr>
        <xdr:cNvPr id="75" name="SampleType"/>
        <xdr:cNvSpPr/>
      </xdr:nvSpPr>
      <xdr:spPr>
        <a:xfrm>
          <a:off x="0" y="106069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Sample</a:t>
          </a:r>
          <a:r>
            <a:rPr lang="en-US" sz="1100" baseline="0"/>
            <a:t> Type</a:t>
          </a:r>
          <a:endParaRPr lang="en-US" sz="1100"/>
        </a:p>
      </xdr:txBody>
    </xdr:sp>
    <xdr:clientData/>
  </xdr:twoCellAnchor>
  <xdr:twoCellAnchor>
    <xdr:from>
      <xdr:col>2</xdr:col>
      <xdr:colOff>114299</xdr:colOff>
      <xdr:row>1</xdr:row>
      <xdr:rowOff>0</xdr:rowOff>
    </xdr:from>
    <xdr:to>
      <xdr:col>3</xdr:col>
      <xdr:colOff>38099</xdr:colOff>
      <xdr:row>3</xdr:row>
      <xdr:rowOff>0</xdr:rowOff>
    </xdr:to>
    <xdr:sp macro="[0]!Category_Select" textlink="">
      <xdr:nvSpPr>
        <xdr:cNvPr id="32" name="MainMenuItem1"/>
        <xdr:cNvSpPr/>
      </xdr:nvSpPr>
      <xdr:spPr>
        <a:xfrm rot="16200000">
          <a:off x="2052637" y="33337"/>
          <a:ext cx="381000" cy="1304925"/>
        </a:xfrm>
        <a:prstGeom prst="round2SameRect">
          <a:avLst>
            <a:gd name="adj1" fmla="val 35586"/>
            <a:gd name="adj2" fmla="val 0"/>
          </a:avLst>
        </a:prstGeom>
        <a:solidFill>
          <a:schemeClr val="accent5">
            <a:lumMod val="20000"/>
            <a:lumOff val="8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r>
            <a:rPr lang="en-US" sz="1100" b="1" u="sng">
              <a:solidFill>
                <a:schemeClr val="accent4">
                  <a:lumMod val="50000"/>
                </a:schemeClr>
              </a:solidFill>
            </a:rPr>
            <a:t>DAIRY</a:t>
          </a:r>
        </a:p>
      </xdr:txBody>
    </xdr:sp>
    <xdr:clientData/>
  </xdr:twoCellAnchor>
  <xdr:twoCellAnchor>
    <xdr:from>
      <xdr:col>2</xdr:col>
      <xdr:colOff>114300</xdr:colOff>
      <xdr:row>3</xdr:row>
      <xdr:rowOff>0</xdr:rowOff>
    </xdr:from>
    <xdr:to>
      <xdr:col>3</xdr:col>
      <xdr:colOff>28575</xdr:colOff>
      <xdr:row>5</xdr:row>
      <xdr:rowOff>0</xdr:rowOff>
    </xdr:to>
    <xdr:sp macro="[0]!Category_Select" textlink="">
      <xdr:nvSpPr>
        <xdr:cNvPr id="96" name="MainMenuItem2"/>
        <xdr:cNvSpPr/>
      </xdr:nvSpPr>
      <xdr:spPr>
        <a:xfrm rot="16200000">
          <a:off x="1943100" y="419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r>
            <a:rPr lang="en-US" sz="1100" b="1" u="sng">
              <a:solidFill>
                <a:schemeClr val="bg1"/>
              </a:solidFill>
            </a:rPr>
            <a:t>MEATS</a:t>
          </a:r>
        </a:p>
      </xdr:txBody>
    </xdr:sp>
    <xdr:clientData/>
  </xdr:twoCellAnchor>
  <xdr:twoCellAnchor>
    <xdr:from>
      <xdr:col>3</xdr:col>
      <xdr:colOff>460</xdr:colOff>
      <xdr:row>3</xdr:row>
      <xdr:rowOff>0</xdr:rowOff>
    </xdr:from>
    <xdr:to>
      <xdr:col>3</xdr:col>
      <xdr:colOff>188820</xdr:colOff>
      <xdr:row>30</xdr:row>
      <xdr:rowOff>0</xdr:rowOff>
    </xdr:to>
    <xdr:sp macro="" textlink="">
      <xdr:nvSpPr>
        <xdr:cNvPr id="97" name="BotMenuShp"/>
        <xdr:cNvSpPr/>
      </xdr:nvSpPr>
      <xdr:spPr>
        <a:xfrm>
          <a:off x="2857960" y="876300"/>
          <a:ext cx="188360" cy="5143500"/>
        </a:xfrm>
        <a:prstGeom prst="round1Rect">
          <a:avLst>
            <a:gd name="adj" fmla="val 50000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460</xdr:colOff>
      <xdr:row>1</xdr:row>
      <xdr:rowOff>759</xdr:rowOff>
    </xdr:from>
    <xdr:to>
      <xdr:col>3</xdr:col>
      <xdr:colOff>187900</xdr:colOff>
      <xdr:row>1</xdr:row>
      <xdr:rowOff>759</xdr:rowOff>
    </xdr:to>
    <xdr:sp macro="[0]!Category_Select" textlink="">
      <xdr:nvSpPr>
        <xdr:cNvPr id="99" name="TopMenuShp"/>
        <xdr:cNvSpPr/>
      </xdr:nvSpPr>
      <xdr:spPr>
        <a:xfrm rot="5400000">
          <a:off x="2951680" y="402339"/>
          <a:ext cx="0" cy="187440"/>
        </a:xfrm>
        <a:prstGeom prst="round1Rect">
          <a:avLst>
            <a:gd name="adj" fmla="val 50000"/>
          </a:avLst>
        </a:prstGeom>
        <a:solidFill>
          <a:schemeClr val="accent4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114300</xdr:colOff>
      <xdr:row>5</xdr:row>
      <xdr:rowOff>0</xdr:rowOff>
    </xdr:from>
    <xdr:to>
      <xdr:col>3</xdr:col>
      <xdr:colOff>28575</xdr:colOff>
      <xdr:row>7</xdr:row>
      <xdr:rowOff>0</xdr:rowOff>
    </xdr:to>
    <xdr:sp macro="[0]!Category_Select" textlink="">
      <xdr:nvSpPr>
        <xdr:cNvPr id="100" name="MainMenuItem3"/>
        <xdr:cNvSpPr/>
      </xdr:nvSpPr>
      <xdr:spPr>
        <a:xfrm rot="16200000">
          <a:off x="1943100" y="800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r>
            <a:rPr lang="en-US" sz="1100" b="1" u="sng">
              <a:solidFill>
                <a:schemeClr val="bg1"/>
              </a:solidFill>
            </a:rPr>
            <a:t>SEAFOOD</a:t>
          </a:r>
        </a:p>
      </xdr:txBody>
    </xdr:sp>
    <xdr:clientData/>
  </xdr:twoCellAnchor>
  <xdr:twoCellAnchor>
    <xdr:from>
      <xdr:col>2</xdr:col>
      <xdr:colOff>114300</xdr:colOff>
      <xdr:row>7</xdr:row>
      <xdr:rowOff>0</xdr:rowOff>
    </xdr:from>
    <xdr:to>
      <xdr:col>3</xdr:col>
      <xdr:colOff>28575</xdr:colOff>
      <xdr:row>9</xdr:row>
      <xdr:rowOff>0</xdr:rowOff>
    </xdr:to>
    <xdr:sp macro="[0]!Category_Select" textlink="">
      <xdr:nvSpPr>
        <xdr:cNvPr id="112" name="MainMenuItem4"/>
        <xdr:cNvSpPr/>
      </xdr:nvSpPr>
      <xdr:spPr>
        <a:xfrm rot="16200000">
          <a:off x="1943100" y="1181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r>
            <a:rPr lang="en-US" sz="1100" b="1" u="sng">
              <a:solidFill>
                <a:schemeClr val="bg1"/>
              </a:solidFill>
            </a:rPr>
            <a:t>GROCERIES</a:t>
          </a:r>
        </a:p>
      </xdr:txBody>
    </xdr:sp>
    <xdr:clientData/>
  </xdr:twoCellAnchor>
  <xdr:twoCellAnchor>
    <xdr:from>
      <xdr:col>2</xdr:col>
      <xdr:colOff>114300</xdr:colOff>
      <xdr:row>9</xdr:row>
      <xdr:rowOff>0</xdr:rowOff>
    </xdr:from>
    <xdr:to>
      <xdr:col>3</xdr:col>
      <xdr:colOff>28575</xdr:colOff>
      <xdr:row>11</xdr:row>
      <xdr:rowOff>0</xdr:rowOff>
    </xdr:to>
    <xdr:sp macro="[0]!Category_Select" textlink="">
      <xdr:nvSpPr>
        <xdr:cNvPr id="113" name="MainMenuItem5"/>
        <xdr:cNvSpPr/>
      </xdr:nvSpPr>
      <xdr:spPr>
        <a:xfrm rot="16200000">
          <a:off x="1943100" y="1562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r>
            <a:rPr lang="en-US" sz="1100" b="1" u="sng">
              <a:solidFill>
                <a:schemeClr val="bg1"/>
              </a:solidFill>
            </a:rPr>
            <a:t>VEGETABLES </a:t>
          </a:r>
        </a:p>
      </xdr:txBody>
    </xdr:sp>
    <xdr:clientData/>
  </xdr:twoCellAnchor>
  <xdr:twoCellAnchor>
    <xdr:from>
      <xdr:col>2</xdr:col>
      <xdr:colOff>114300</xdr:colOff>
      <xdr:row>11</xdr:row>
      <xdr:rowOff>0</xdr:rowOff>
    </xdr:from>
    <xdr:to>
      <xdr:col>3</xdr:col>
      <xdr:colOff>28575</xdr:colOff>
      <xdr:row>13</xdr:row>
      <xdr:rowOff>0</xdr:rowOff>
    </xdr:to>
    <xdr:sp macro="[0]!Category_Select" textlink="">
      <xdr:nvSpPr>
        <xdr:cNvPr id="114" name="MainMenuItem6"/>
        <xdr:cNvSpPr/>
      </xdr:nvSpPr>
      <xdr:spPr>
        <a:xfrm rot="16200000">
          <a:off x="1943100" y="1943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endParaRPr lang="en-US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114300</xdr:colOff>
      <xdr:row>13</xdr:row>
      <xdr:rowOff>0</xdr:rowOff>
    </xdr:from>
    <xdr:to>
      <xdr:col>3</xdr:col>
      <xdr:colOff>28575</xdr:colOff>
      <xdr:row>15</xdr:row>
      <xdr:rowOff>0</xdr:rowOff>
    </xdr:to>
    <xdr:sp macro="[0]!Category_Select" textlink="">
      <xdr:nvSpPr>
        <xdr:cNvPr id="115" name="MainMenuItem7"/>
        <xdr:cNvSpPr/>
      </xdr:nvSpPr>
      <xdr:spPr>
        <a:xfrm rot="16200000">
          <a:off x="1943100" y="2324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endParaRPr lang="en-US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114300</xdr:colOff>
      <xdr:row>15</xdr:row>
      <xdr:rowOff>0</xdr:rowOff>
    </xdr:from>
    <xdr:to>
      <xdr:col>3</xdr:col>
      <xdr:colOff>28575</xdr:colOff>
      <xdr:row>17</xdr:row>
      <xdr:rowOff>0</xdr:rowOff>
    </xdr:to>
    <xdr:sp macro="[0]!Category_Select" textlink="">
      <xdr:nvSpPr>
        <xdr:cNvPr id="116" name="MainMenuItem8"/>
        <xdr:cNvSpPr/>
      </xdr:nvSpPr>
      <xdr:spPr>
        <a:xfrm rot="16200000">
          <a:off x="1943100" y="2705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endParaRPr lang="en-US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114300</xdr:colOff>
      <xdr:row>17</xdr:row>
      <xdr:rowOff>0</xdr:rowOff>
    </xdr:from>
    <xdr:to>
      <xdr:col>3</xdr:col>
      <xdr:colOff>28575</xdr:colOff>
      <xdr:row>19</xdr:row>
      <xdr:rowOff>0</xdr:rowOff>
    </xdr:to>
    <xdr:sp macro="[0]!Category_Select" textlink="">
      <xdr:nvSpPr>
        <xdr:cNvPr id="117" name="MainMenuItem9"/>
        <xdr:cNvSpPr/>
      </xdr:nvSpPr>
      <xdr:spPr>
        <a:xfrm rot="16200000">
          <a:off x="1943100" y="3086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endParaRPr lang="en-US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114300</xdr:colOff>
      <xdr:row>19</xdr:row>
      <xdr:rowOff>0</xdr:rowOff>
    </xdr:from>
    <xdr:to>
      <xdr:col>3</xdr:col>
      <xdr:colOff>28575</xdr:colOff>
      <xdr:row>21</xdr:row>
      <xdr:rowOff>0</xdr:rowOff>
    </xdr:to>
    <xdr:sp macro="[0]!Category_Select" textlink="">
      <xdr:nvSpPr>
        <xdr:cNvPr id="118" name="MainMenuItem10"/>
        <xdr:cNvSpPr/>
      </xdr:nvSpPr>
      <xdr:spPr>
        <a:xfrm rot="16200000">
          <a:off x="1943100" y="3467100"/>
          <a:ext cx="381000" cy="1295400"/>
        </a:xfrm>
        <a:prstGeom prst="round2SameRect">
          <a:avLst>
            <a:gd name="adj1" fmla="val 35586"/>
            <a:gd name="adj2" fmla="val 0"/>
          </a:avLst>
        </a:prstGeom>
        <a:solidFill>
          <a:schemeClr val="accent4">
            <a:lumMod val="50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r"/>
          <a:endParaRPr lang="en-US" sz="1100" b="1" u="sng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1</xdr:colOff>
      <xdr:row>1</xdr:row>
      <xdr:rowOff>171450</xdr:rowOff>
    </xdr:from>
    <xdr:to>
      <xdr:col>10</xdr:col>
      <xdr:colOff>1085851</xdr:colOff>
      <xdr:row>4</xdr:row>
      <xdr:rowOff>9525</xdr:rowOff>
    </xdr:to>
    <xdr:sp macro="" textlink="">
      <xdr:nvSpPr>
        <xdr:cNvPr id="192" name="Rounded Rectangle 191"/>
        <xdr:cNvSpPr/>
      </xdr:nvSpPr>
      <xdr:spPr>
        <a:xfrm>
          <a:off x="8362951" y="666750"/>
          <a:ext cx="1724025" cy="409575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</xdr:colOff>
      <xdr:row>4</xdr:row>
      <xdr:rowOff>171450</xdr:rowOff>
    </xdr:from>
    <xdr:to>
      <xdr:col>11</xdr:col>
      <xdr:colOff>1</xdr:colOff>
      <xdr:row>7</xdr:row>
      <xdr:rowOff>9525</xdr:rowOff>
    </xdr:to>
    <xdr:sp macro="" textlink="">
      <xdr:nvSpPr>
        <xdr:cNvPr id="1158" name="Rounded Rectangle 1157"/>
        <xdr:cNvSpPr/>
      </xdr:nvSpPr>
      <xdr:spPr>
        <a:xfrm>
          <a:off x="8343901" y="1238250"/>
          <a:ext cx="1685925" cy="409575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</xdr:colOff>
      <xdr:row>12</xdr:row>
      <xdr:rowOff>171450</xdr:rowOff>
    </xdr:from>
    <xdr:to>
      <xdr:col>10</xdr:col>
      <xdr:colOff>1085851</xdr:colOff>
      <xdr:row>15</xdr:row>
      <xdr:rowOff>9525</xdr:rowOff>
    </xdr:to>
    <xdr:sp macro="" textlink="">
      <xdr:nvSpPr>
        <xdr:cNvPr id="1177" name="Rounded Rectangle 1176"/>
        <xdr:cNvSpPr/>
      </xdr:nvSpPr>
      <xdr:spPr>
        <a:xfrm>
          <a:off x="8086726" y="2762250"/>
          <a:ext cx="1724025" cy="409575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</xdr:colOff>
      <xdr:row>15</xdr:row>
      <xdr:rowOff>171450</xdr:rowOff>
    </xdr:from>
    <xdr:to>
      <xdr:col>10</xdr:col>
      <xdr:colOff>1085851</xdr:colOff>
      <xdr:row>18</xdr:row>
      <xdr:rowOff>9525</xdr:rowOff>
    </xdr:to>
    <xdr:sp macro="" textlink="">
      <xdr:nvSpPr>
        <xdr:cNvPr id="1178" name="Rounded Rectangle 1177"/>
        <xdr:cNvSpPr/>
      </xdr:nvSpPr>
      <xdr:spPr>
        <a:xfrm>
          <a:off x="8086726" y="3333750"/>
          <a:ext cx="1724025" cy="409575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</xdr:colOff>
      <xdr:row>18</xdr:row>
      <xdr:rowOff>171450</xdr:rowOff>
    </xdr:from>
    <xdr:to>
      <xdr:col>10</xdr:col>
      <xdr:colOff>1085851</xdr:colOff>
      <xdr:row>21</xdr:row>
      <xdr:rowOff>9525</xdr:rowOff>
    </xdr:to>
    <xdr:sp macro="" textlink="">
      <xdr:nvSpPr>
        <xdr:cNvPr id="1179" name="Rounded Rectangle 1178"/>
        <xdr:cNvSpPr/>
      </xdr:nvSpPr>
      <xdr:spPr>
        <a:xfrm>
          <a:off x="8086726" y="3905250"/>
          <a:ext cx="1724025" cy="409575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0</xdr:colOff>
      <xdr:row>21</xdr:row>
      <xdr:rowOff>0</xdr:rowOff>
    </xdr:from>
    <xdr:to>
      <xdr:col>16</xdr:col>
      <xdr:colOff>0</xdr:colOff>
      <xdr:row>25</xdr:row>
      <xdr:rowOff>38100</xdr:rowOff>
    </xdr:to>
    <xdr:grpSp>
      <xdr:nvGrpSpPr>
        <xdr:cNvPr id="1180" name="FooterGrp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GrpSpPr/>
      </xdr:nvGrpSpPr>
      <xdr:grpSpPr>
        <a:xfrm>
          <a:off x="10210800" y="4305300"/>
          <a:ext cx="2876550" cy="800100"/>
          <a:chOff x="5948362" y="4429125"/>
          <a:chExt cx="2438400" cy="800100"/>
        </a:xfrm>
      </xdr:grpSpPr>
      <xdr:sp macro="" textlink="FooterMess">
        <xdr:nvSpPr>
          <xdr:cNvPr id="1181" name="FooterMsg">
            <a:extLst>
              <a:ext uri="{FF2B5EF4-FFF2-40B4-BE49-F238E27FC236}">
                <a16:creationId xmlns:a16="http://schemas.microsoft.com/office/drawing/2014/main" xmlns="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6E4491F0-4E25-4205-9108-D5B0FFBEC928}" type="TxLink">
              <a:rPr lang="en-US" sz="11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Thank You For Your Business</a:t>
            </a:fld>
            <a:endParaRPr lang="en-US" sz="1100" b="1"/>
          </a:p>
        </xdr:txBody>
      </xdr:sp>
      <xdr:sp macro="" textlink="$O$7">
        <xdr:nvSpPr>
          <xdr:cNvPr id="1182" name="BarcodeOrderID">
            <a:extLst>
              <a:ext uri="{FF2B5EF4-FFF2-40B4-BE49-F238E27FC236}">
                <a16:creationId xmlns:a16="http://schemas.microsoft.com/office/drawing/2014/main" xmlns="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16C7027F-CCAF-4B2F-9E5D-23B5C9193674}" type="TxLink">
              <a:rPr lang="en-US" sz="4000" b="0" i="0" u="none" strike="noStrike">
                <a:solidFill>
                  <a:srgbClr val="000000"/>
                </a:solidFill>
                <a:latin typeface="Code 128" panose="05000000000000000000" pitchFamily="2" charset="2"/>
                <a:cs typeface="Calibri"/>
              </a:rPr>
              <a:pPr algn="ctr"/>
              <a:t>1013</a:t>
            </a:fld>
            <a:endParaRPr lang="en-US" sz="4000" b="1">
              <a:latin typeface="Code 128" panose="05000000000000000000" pitchFamily="2" charset="2"/>
            </a:endParaRPr>
          </a:p>
        </xdr:txBody>
      </xdr:sp>
    </xdr:grpSp>
    <xdr:clientData/>
  </xdr:twoCellAnchor>
  <xdr:twoCellAnchor>
    <xdr:from>
      <xdr:col>9</xdr:col>
      <xdr:colOff>19051</xdr:colOff>
      <xdr:row>23</xdr:row>
      <xdr:rowOff>171448</xdr:rowOff>
    </xdr:from>
    <xdr:to>
      <xdr:col>10</xdr:col>
      <xdr:colOff>1066801</xdr:colOff>
      <xdr:row>25</xdr:row>
      <xdr:rowOff>156208</xdr:rowOff>
    </xdr:to>
    <xdr:grpSp>
      <xdr:nvGrpSpPr>
        <xdr:cNvPr id="2209" name="Group 2208"/>
        <xdr:cNvGrpSpPr/>
      </xdr:nvGrpSpPr>
      <xdr:grpSpPr>
        <a:xfrm>
          <a:off x="8362951" y="4857748"/>
          <a:ext cx="1666875" cy="365760"/>
          <a:chOff x="8267700" y="4857748"/>
          <a:chExt cx="1685925" cy="365760"/>
        </a:xfrm>
      </xdr:grpSpPr>
      <xdr:sp macro="[0]!Order_SaveNext" textlink="">
        <xdr:nvSpPr>
          <xdr:cNvPr id="1172" name="Butn6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SpPr/>
        </xdr:nvSpPr>
        <xdr:spPr>
          <a:xfrm>
            <a:off x="8267700" y="4857748"/>
            <a:ext cx="1685925" cy="36576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Order_SaveNext">
        <xdr:nvPicPr>
          <xdr:cNvPr id="318" name="Picture 317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29625" y="4903468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19051</xdr:colOff>
      <xdr:row>21</xdr:row>
      <xdr:rowOff>76200</xdr:rowOff>
    </xdr:from>
    <xdr:to>
      <xdr:col>10</xdr:col>
      <xdr:colOff>1066801</xdr:colOff>
      <xdr:row>23</xdr:row>
      <xdr:rowOff>59690</xdr:rowOff>
    </xdr:to>
    <xdr:grpSp>
      <xdr:nvGrpSpPr>
        <xdr:cNvPr id="2208" name="Group 2207"/>
        <xdr:cNvGrpSpPr/>
      </xdr:nvGrpSpPr>
      <xdr:grpSpPr>
        <a:xfrm>
          <a:off x="8362951" y="4381500"/>
          <a:ext cx="1666875" cy="364490"/>
          <a:chOff x="8220075" y="4219575"/>
          <a:chExt cx="1685925" cy="364490"/>
        </a:xfrm>
      </xdr:grpSpPr>
      <xdr:sp macro="" textlink="">
        <xdr:nvSpPr>
          <xdr:cNvPr id="1175" name="Butn6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SpPr/>
        </xdr:nvSpPr>
        <xdr:spPr>
          <a:xfrm>
            <a:off x="8220075" y="4219575"/>
            <a:ext cx="1685925" cy="36449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PRINT</a:t>
            </a:r>
          </a:p>
        </xdr:txBody>
      </xdr:sp>
      <xdr:pic>
        <xdr:nvPicPr>
          <xdr:cNvPr id="319" name="Picture 318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31975" y="42646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19050</xdr:colOff>
      <xdr:row>11</xdr:row>
      <xdr:rowOff>76199</xdr:rowOff>
    </xdr:from>
    <xdr:to>
      <xdr:col>10</xdr:col>
      <xdr:colOff>1047750</xdr:colOff>
      <xdr:row>12</xdr:row>
      <xdr:rowOff>95250</xdr:rowOff>
    </xdr:to>
    <xdr:sp macro="" textlink="">
      <xdr:nvSpPr>
        <xdr:cNvPr id="2210" name="ProdNmText"/>
        <xdr:cNvSpPr txBox="1"/>
      </xdr:nvSpPr>
      <xdr:spPr>
        <a:xfrm>
          <a:off x="8105775" y="2476499"/>
          <a:ext cx="1666875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pPr algn="ctr"/>
          <a:r>
            <a:rPr lang="en-US" sz="1100"/>
            <a:t>Whole Kernel Corn</a:t>
          </a:r>
        </a:p>
      </xdr:txBody>
    </xdr:sp>
    <xdr:clientData/>
  </xdr:twoCellAnchor>
  <xdr:twoCellAnchor>
    <xdr:from>
      <xdr:col>9</xdr:col>
      <xdr:colOff>19051</xdr:colOff>
      <xdr:row>7</xdr:row>
      <xdr:rowOff>66675</xdr:rowOff>
    </xdr:from>
    <xdr:to>
      <xdr:col>10</xdr:col>
      <xdr:colOff>1104901</xdr:colOff>
      <xdr:row>12</xdr:row>
      <xdr:rowOff>104775</xdr:rowOff>
    </xdr:to>
    <xdr:sp macro="" textlink="">
      <xdr:nvSpPr>
        <xdr:cNvPr id="2213" name="Rounded Rectangle 2212"/>
        <xdr:cNvSpPr/>
      </xdr:nvSpPr>
      <xdr:spPr>
        <a:xfrm>
          <a:off x="8105776" y="1704975"/>
          <a:ext cx="1724025" cy="990600"/>
        </a:xfrm>
        <a:prstGeom prst="roundRect">
          <a:avLst/>
        </a:prstGeom>
        <a:noFill/>
        <a:ln w="6350">
          <a:solidFill>
            <a:schemeClr val="accent5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15</xdr:col>
      <xdr:colOff>413147</xdr:colOff>
      <xdr:row>2</xdr:row>
      <xdr:rowOff>23812</xdr:rowOff>
    </xdr:from>
    <xdr:to>
      <xdr:col>15</xdr:col>
      <xdr:colOff>598408</xdr:colOff>
      <xdr:row>3</xdr:row>
      <xdr:rowOff>16192</xdr:rowOff>
    </xdr:to>
    <xdr:pic macro="[0]!Order_Load">
      <xdr:nvPicPr>
        <xdr:cNvPr id="2914" name="Picture 29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2586097" y="709612"/>
          <a:ext cx="185261" cy="182880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0</xdr:colOff>
      <xdr:row>2</xdr:row>
      <xdr:rowOff>0</xdr:rowOff>
    </xdr:from>
    <xdr:to>
      <xdr:col>16</xdr:col>
      <xdr:colOff>0</xdr:colOff>
      <xdr:row>26</xdr:row>
      <xdr:rowOff>0</xdr:rowOff>
    </xdr:to>
    <xdr:sp macro="" textlink="">
      <xdr:nvSpPr>
        <xdr:cNvPr id="2915" name="Border"/>
        <xdr:cNvSpPr/>
      </xdr:nvSpPr>
      <xdr:spPr>
        <a:xfrm>
          <a:off x="10210800" y="685800"/>
          <a:ext cx="2876550" cy="4572000"/>
        </a:xfrm>
        <a:prstGeom prst="rect">
          <a:avLst/>
        </a:prstGeom>
        <a:noFill/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869010</xdr:colOff>
      <xdr:row>15</xdr:row>
      <xdr:rowOff>94951</xdr:rowOff>
    </xdr:to>
    <xdr:grpSp>
      <xdr:nvGrpSpPr>
        <xdr:cNvPr id="50" name="ProdSampleGrp"/>
        <xdr:cNvGrpSpPr/>
      </xdr:nvGrpSpPr>
      <xdr:grpSpPr>
        <a:xfrm>
          <a:off x="0" y="2400300"/>
          <a:ext cx="869010" cy="856951"/>
          <a:chOff x="3158525" y="530035"/>
          <a:chExt cx="870819" cy="856951"/>
        </a:xfrm>
      </xdr:grpSpPr>
      <xdr:sp macro="" textlink="">
        <xdr:nvSpPr>
          <xdr:cNvPr id="51" name="ProdPic"/>
          <xdr:cNvSpPr/>
        </xdr:nvSpPr>
        <xdr:spPr>
          <a:xfrm>
            <a:off x="3158527" y="530035"/>
            <a:ext cx="870817" cy="856951"/>
          </a:xfrm>
          <a:prstGeom prst="rect">
            <a:avLst/>
          </a:prstGeom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accent4">
                <a:lumMod val="5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2" name="ProdTxt"/>
          <xdr:cNvSpPr/>
        </xdr:nvSpPr>
        <xdr:spPr>
          <a:xfrm>
            <a:off x="3158525" y="1100676"/>
            <a:ext cx="870817" cy="286310"/>
          </a:xfrm>
          <a:prstGeom prst="rect">
            <a:avLst/>
          </a:prstGeom>
          <a:solidFill>
            <a:schemeClr val="accent4">
              <a:lumMod val="50000"/>
            </a:schemeClr>
          </a:solidFill>
          <a:ln>
            <a:solidFill>
              <a:schemeClr val="accent5">
                <a:lumMod val="50000"/>
              </a:schemeClr>
            </a:solidFill>
          </a:ln>
        </xdr:spPr>
        <xdr:style>
          <a:lnRef idx="1">
            <a:schemeClr val="accent2"/>
          </a:lnRef>
          <a:fillRef idx="2">
            <a:schemeClr val="accent2"/>
          </a:fillRef>
          <a:effectRef idx="1">
            <a:schemeClr val="accent2"/>
          </a:effectRef>
          <a:fontRef idx="minor">
            <a:schemeClr val="dk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900">
                <a:solidFill>
                  <a:schemeClr val="bg1"/>
                </a:solidFill>
              </a:rPr>
              <a:t>Zelachi Dan US Butter 25kg</a:t>
            </a:r>
          </a:p>
        </xdr:txBody>
      </xdr:sp>
    </xdr:grpSp>
    <xdr:clientData/>
  </xdr:twoCellAnchor>
  <xdr:twoCellAnchor editAs="oneCell">
    <xdr:from>
      <xdr:col>16</xdr:col>
      <xdr:colOff>0</xdr:colOff>
      <xdr:row>14</xdr:row>
      <xdr:rowOff>0</xdr:rowOff>
    </xdr:from>
    <xdr:to>
      <xdr:col>16</xdr:col>
      <xdr:colOff>210312</xdr:colOff>
      <xdr:row>15</xdr:row>
      <xdr:rowOff>19812</xdr:rowOff>
    </xdr:to>
    <xdr:pic macro="[0]!Order_ItemDelete">
      <xdr:nvPicPr>
        <xdr:cNvPr id="229" name="DelItemBtn" hidden="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7350" y="2971800"/>
          <a:ext cx="210312" cy="210312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1</xdr:row>
      <xdr:rowOff>63500</xdr:rowOff>
    </xdr:from>
    <xdr:to>
      <xdr:col>2</xdr:col>
      <xdr:colOff>444500</xdr:colOff>
      <xdr:row>2</xdr:row>
      <xdr:rowOff>88900</xdr:rowOff>
    </xdr:to>
    <xdr:pic macro="Category_Select">
      <xdr:nvPicPr>
        <xdr:cNvPr id="3501" name="CatIconWhite1" hidden="1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600200" y="558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251918</xdr:colOff>
      <xdr:row>1</xdr:row>
      <xdr:rowOff>63500</xdr:rowOff>
    </xdr:from>
    <xdr:to>
      <xdr:col>2</xdr:col>
      <xdr:colOff>467818</xdr:colOff>
      <xdr:row>2</xdr:row>
      <xdr:rowOff>88900</xdr:rowOff>
    </xdr:to>
    <xdr:pic macro="Category_Select">
      <xdr:nvPicPr>
        <xdr:cNvPr id="3502" name="CatIconGreen1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728293" y="558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193391</xdr:colOff>
      <xdr:row>3</xdr:row>
      <xdr:rowOff>63500</xdr:rowOff>
    </xdr:from>
    <xdr:to>
      <xdr:col>2</xdr:col>
      <xdr:colOff>526345</xdr:colOff>
      <xdr:row>4</xdr:row>
      <xdr:rowOff>88900</xdr:rowOff>
    </xdr:to>
    <xdr:pic macro="Category_Select">
      <xdr:nvPicPr>
        <xdr:cNvPr id="3503" name="CatIconWhite2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669766" y="939800"/>
          <a:ext cx="332954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3</xdr:row>
      <xdr:rowOff>63500</xdr:rowOff>
    </xdr:from>
    <xdr:to>
      <xdr:col>2</xdr:col>
      <xdr:colOff>561554</xdr:colOff>
      <xdr:row>4</xdr:row>
      <xdr:rowOff>88900</xdr:rowOff>
    </xdr:to>
    <xdr:pic macro="Category_Select">
      <xdr:nvPicPr>
        <xdr:cNvPr id="3504" name="CatIconGreen2" hidden="1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600200" y="939800"/>
          <a:ext cx="332954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133350</xdr:colOff>
      <xdr:row>5</xdr:row>
      <xdr:rowOff>63500</xdr:rowOff>
    </xdr:from>
    <xdr:to>
      <xdr:col>2</xdr:col>
      <xdr:colOff>586386</xdr:colOff>
      <xdr:row>6</xdr:row>
      <xdr:rowOff>88900</xdr:rowOff>
    </xdr:to>
    <xdr:pic macro="Category_Select">
      <xdr:nvPicPr>
        <xdr:cNvPr id="3505" name="CatIconWhite3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09725" y="1320800"/>
          <a:ext cx="453036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5</xdr:row>
      <xdr:rowOff>63500</xdr:rowOff>
    </xdr:from>
    <xdr:to>
      <xdr:col>2</xdr:col>
      <xdr:colOff>681636</xdr:colOff>
      <xdr:row>6</xdr:row>
      <xdr:rowOff>88900</xdr:rowOff>
    </xdr:to>
    <xdr:pic macro="Category_Select">
      <xdr:nvPicPr>
        <xdr:cNvPr id="3506" name="CatIconGreen3" hidden="1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600200" y="1320800"/>
          <a:ext cx="453036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251918</xdr:colOff>
      <xdr:row>7</xdr:row>
      <xdr:rowOff>63500</xdr:rowOff>
    </xdr:from>
    <xdr:to>
      <xdr:col>2</xdr:col>
      <xdr:colOff>467818</xdr:colOff>
      <xdr:row>8</xdr:row>
      <xdr:rowOff>88900</xdr:rowOff>
    </xdr:to>
    <xdr:pic macro="Category_Select">
      <xdr:nvPicPr>
        <xdr:cNvPr id="3507" name="CatIconWhite4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728293" y="1701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7</xdr:row>
      <xdr:rowOff>63500</xdr:rowOff>
    </xdr:from>
    <xdr:to>
      <xdr:col>2</xdr:col>
      <xdr:colOff>444500</xdr:colOff>
      <xdr:row>8</xdr:row>
      <xdr:rowOff>88900</xdr:rowOff>
    </xdr:to>
    <xdr:pic macro="Category_Select">
      <xdr:nvPicPr>
        <xdr:cNvPr id="3508" name="CatIconGreen4" hidden="1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1600200" y="1701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251918</xdr:colOff>
      <xdr:row>9</xdr:row>
      <xdr:rowOff>63500</xdr:rowOff>
    </xdr:from>
    <xdr:to>
      <xdr:col>2</xdr:col>
      <xdr:colOff>467818</xdr:colOff>
      <xdr:row>10</xdr:row>
      <xdr:rowOff>88900</xdr:rowOff>
    </xdr:to>
    <xdr:pic macro="Category_Select">
      <xdr:nvPicPr>
        <xdr:cNvPr id="3509" name="CatIconWhite5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1728293" y="2082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228600</xdr:colOff>
      <xdr:row>9</xdr:row>
      <xdr:rowOff>63500</xdr:rowOff>
    </xdr:from>
    <xdr:to>
      <xdr:col>2</xdr:col>
      <xdr:colOff>444500</xdr:colOff>
      <xdr:row>10</xdr:row>
      <xdr:rowOff>88900</xdr:rowOff>
    </xdr:to>
    <xdr:pic macro="Category_Select">
      <xdr:nvPicPr>
        <xdr:cNvPr id="3510" name="CatIconGreen5" hidden="1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1600200" y="208280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9</xdr:col>
      <xdr:colOff>461963</xdr:colOff>
      <xdr:row>7</xdr:row>
      <xdr:rowOff>95250</xdr:rowOff>
    </xdr:from>
    <xdr:to>
      <xdr:col>10</xdr:col>
      <xdr:colOff>585788</xdr:colOff>
      <xdr:row>11</xdr:row>
      <xdr:rowOff>95250</xdr:rowOff>
    </xdr:to>
    <xdr:pic>
      <xdr:nvPicPr>
        <xdr:cNvPr id="4884" name="SelProdPic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8805863" y="17335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</xdr:col>
      <xdr:colOff>254000</xdr:colOff>
      <xdr:row>2</xdr:row>
      <xdr:rowOff>12700</xdr:rowOff>
    </xdr:from>
    <xdr:to>
      <xdr:col>4</xdr:col>
      <xdr:colOff>623794</xdr:colOff>
      <xdr:row>3</xdr:row>
      <xdr:rowOff>125706</xdr:rowOff>
    </xdr:to>
    <xdr:sp macro="Type_Select" textlink="">
      <xdr:nvSpPr>
        <xdr:cNvPr id="4975" name="CatType1"/>
        <xdr:cNvSpPr/>
      </xdr:nvSpPr>
      <xdr:spPr>
        <a:xfrm>
          <a:off x="3111500" y="698500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BUTTER</a:t>
          </a:r>
        </a:p>
      </xdr:txBody>
    </xdr:sp>
    <xdr:clientData/>
  </xdr:twoCellAnchor>
  <xdr:twoCellAnchor editAs="oneCell">
    <xdr:from>
      <xdr:col>3</xdr:col>
      <xdr:colOff>254000</xdr:colOff>
      <xdr:row>3</xdr:row>
      <xdr:rowOff>189206</xdr:rowOff>
    </xdr:from>
    <xdr:to>
      <xdr:col>4</xdr:col>
      <xdr:colOff>623794</xdr:colOff>
      <xdr:row>5</xdr:row>
      <xdr:rowOff>111712</xdr:rowOff>
    </xdr:to>
    <xdr:sp macro="Type_Select" textlink="">
      <xdr:nvSpPr>
        <xdr:cNvPr id="4976" name="CatType2"/>
        <xdr:cNvSpPr/>
      </xdr:nvSpPr>
      <xdr:spPr>
        <a:xfrm>
          <a:off x="3111500" y="1065506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MARGARINE</a:t>
          </a:r>
        </a:p>
      </xdr:txBody>
    </xdr:sp>
    <xdr:clientData/>
  </xdr:twoCellAnchor>
  <xdr:twoCellAnchor editAs="oneCell">
    <xdr:from>
      <xdr:col>3</xdr:col>
      <xdr:colOff>254000</xdr:colOff>
      <xdr:row>5</xdr:row>
      <xdr:rowOff>175212</xdr:rowOff>
    </xdr:from>
    <xdr:to>
      <xdr:col>4</xdr:col>
      <xdr:colOff>623794</xdr:colOff>
      <xdr:row>7</xdr:row>
      <xdr:rowOff>97718</xdr:rowOff>
    </xdr:to>
    <xdr:sp macro="Type_Select" textlink="">
      <xdr:nvSpPr>
        <xdr:cNvPr id="4977" name="CatType3"/>
        <xdr:cNvSpPr/>
      </xdr:nvSpPr>
      <xdr:spPr>
        <a:xfrm>
          <a:off x="3111500" y="1432512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CREAM</a:t>
          </a:r>
        </a:p>
      </xdr:txBody>
    </xdr:sp>
    <xdr:clientData/>
  </xdr:twoCellAnchor>
  <xdr:twoCellAnchor editAs="oneCell">
    <xdr:from>
      <xdr:col>3</xdr:col>
      <xdr:colOff>254000</xdr:colOff>
      <xdr:row>7</xdr:row>
      <xdr:rowOff>161218</xdr:rowOff>
    </xdr:from>
    <xdr:to>
      <xdr:col>4</xdr:col>
      <xdr:colOff>623794</xdr:colOff>
      <xdr:row>9</xdr:row>
      <xdr:rowOff>83724</xdr:rowOff>
    </xdr:to>
    <xdr:sp macro="Type_Select" textlink="">
      <xdr:nvSpPr>
        <xdr:cNvPr id="4978" name="CatType4"/>
        <xdr:cNvSpPr/>
      </xdr:nvSpPr>
      <xdr:spPr>
        <a:xfrm>
          <a:off x="3111500" y="1799518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MILK</a:t>
          </a:r>
        </a:p>
      </xdr:txBody>
    </xdr:sp>
    <xdr:clientData/>
  </xdr:twoCellAnchor>
  <xdr:twoCellAnchor editAs="oneCell">
    <xdr:from>
      <xdr:col>3</xdr:col>
      <xdr:colOff>254000</xdr:colOff>
      <xdr:row>9</xdr:row>
      <xdr:rowOff>147224</xdr:rowOff>
    </xdr:from>
    <xdr:to>
      <xdr:col>4</xdr:col>
      <xdr:colOff>623794</xdr:colOff>
      <xdr:row>11</xdr:row>
      <xdr:rowOff>69730</xdr:rowOff>
    </xdr:to>
    <xdr:sp macro="Type_Select" textlink="">
      <xdr:nvSpPr>
        <xdr:cNvPr id="4979" name="CatType5"/>
        <xdr:cNvSpPr/>
      </xdr:nvSpPr>
      <xdr:spPr>
        <a:xfrm>
          <a:off x="3111500" y="2166524"/>
          <a:ext cx="979394" cy="30350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CHEESE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Flow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dmin"/>
  <dimension ref="A1:Z48"/>
  <sheetViews>
    <sheetView workbookViewId="0">
      <selection activeCell="C3" sqref="C3:H4"/>
    </sheetView>
  </sheetViews>
  <sheetFormatPr defaultRowHeight="15" x14ac:dyDescent="0.25"/>
  <cols>
    <col min="1" max="1" width="7.28515625" bestFit="1" customWidth="1"/>
    <col min="2" max="2" width="19.42578125" bestFit="1" customWidth="1"/>
    <col min="3" max="3" width="13" customWidth="1"/>
    <col min="4" max="4" width="19.140625" bestFit="1" customWidth="1"/>
    <col min="5" max="5" width="3.7109375" customWidth="1"/>
    <col min="6" max="6" width="22.140625" customWidth="1"/>
    <col min="7" max="7" width="7.28515625" customWidth="1"/>
    <col min="8" max="8" width="28" customWidth="1"/>
    <col min="9" max="9" width="12.28515625" customWidth="1"/>
    <col min="10" max="10" width="16.5703125" customWidth="1"/>
    <col min="11" max="11" width="11.28515625" bestFit="1" customWidth="1"/>
    <col min="12" max="12" width="16.5703125" customWidth="1"/>
    <col min="13" max="13" width="4" customWidth="1"/>
    <col min="14" max="14" width="16.5703125" customWidth="1"/>
    <col min="15" max="15" width="4" customWidth="1"/>
    <col min="16" max="16" width="15.85546875" customWidth="1"/>
    <col min="19" max="19" width="20" customWidth="1"/>
  </cols>
  <sheetData>
    <row r="1" spans="1:26" ht="33" customHeight="1" x14ac:dyDescent="0.45">
      <c r="A1" s="19"/>
      <c r="B1" s="72" t="s">
        <v>237</v>
      </c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19"/>
      <c r="R1" s="19"/>
      <c r="S1" s="19"/>
      <c r="T1" s="19"/>
      <c r="U1" s="19"/>
      <c r="V1" s="19"/>
      <c r="W1" s="19"/>
      <c r="X1" s="19"/>
      <c r="Y1" s="19"/>
      <c r="Z1" s="20"/>
    </row>
    <row r="2" spans="1:26" x14ac:dyDescent="0.25">
      <c r="A2" s="21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</row>
    <row r="3" spans="1:26" x14ac:dyDescent="0.25">
      <c r="A3" s="22"/>
      <c r="B3" s="25" t="s">
        <v>238</v>
      </c>
      <c r="C3" s="78"/>
      <c r="D3" s="78"/>
      <c r="E3" s="78"/>
      <c r="F3" s="78"/>
      <c r="G3" s="78"/>
      <c r="H3" s="78"/>
      <c r="I3" s="23"/>
      <c r="J3" s="23"/>
      <c r="K3" s="23"/>
      <c r="L3" s="23"/>
      <c r="M3" s="23"/>
      <c r="N3" s="23"/>
      <c r="O3" s="23"/>
      <c r="P3" s="23"/>
      <c r="Q3" s="22"/>
      <c r="R3" s="22"/>
      <c r="S3" s="22"/>
      <c r="T3" s="23"/>
      <c r="U3" s="23"/>
      <c r="V3" s="23"/>
      <c r="W3" s="23"/>
      <c r="X3" s="23"/>
      <c r="Y3" s="23"/>
      <c r="Z3" s="22"/>
    </row>
    <row r="4" spans="1:26" x14ac:dyDescent="0.25">
      <c r="A4" s="22"/>
      <c r="B4" s="25" t="s">
        <v>259</v>
      </c>
      <c r="C4" s="78"/>
      <c r="D4" s="78"/>
      <c r="E4" s="78"/>
      <c r="F4" s="78"/>
      <c r="G4" s="78"/>
      <c r="H4" s="78"/>
      <c r="I4" s="23"/>
      <c r="J4" s="23"/>
      <c r="K4" s="23"/>
      <c r="L4" s="23"/>
      <c r="M4" s="23"/>
      <c r="N4" s="23"/>
      <c r="O4" s="23"/>
      <c r="P4" s="23"/>
      <c r="Q4" s="22"/>
      <c r="R4" s="22"/>
      <c r="S4" s="22"/>
      <c r="T4" s="23"/>
      <c r="U4" s="23"/>
      <c r="V4" s="23"/>
      <c r="W4" s="23"/>
      <c r="X4" s="23"/>
      <c r="Y4" s="23"/>
      <c r="Z4" s="22"/>
    </row>
    <row r="5" spans="1:26" x14ac:dyDescent="0.25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</row>
    <row r="6" spans="1:26" x14ac:dyDescent="0.25">
      <c r="A6" s="22"/>
      <c r="B6" s="73" t="s">
        <v>242</v>
      </c>
      <c r="C6" s="74"/>
      <c r="D6" s="75"/>
      <c r="E6" s="24"/>
      <c r="F6" s="73" t="s">
        <v>316</v>
      </c>
      <c r="G6" s="74"/>
      <c r="H6" s="75"/>
      <c r="I6" s="24"/>
      <c r="J6" s="24"/>
      <c r="K6" s="24"/>
      <c r="L6" s="24"/>
      <c r="M6" s="24"/>
      <c r="N6" s="24"/>
      <c r="O6" s="24"/>
      <c r="P6" s="24"/>
      <c r="Q6" s="22"/>
      <c r="R6" s="22"/>
      <c r="S6" s="22"/>
      <c r="T6" s="22"/>
      <c r="U6" s="22"/>
      <c r="V6" s="22"/>
      <c r="W6" s="22"/>
      <c r="X6" s="22"/>
      <c r="Y6" s="22"/>
      <c r="Z6" s="22"/>
    </row>
    <row r="7" spans="1:26" x14ac:dyDescent="0.25">
      <c r="A7" s="22"/>
      <c r="B7" s="26" t="s">
        <v>243</v>
      </c>
      <c r="C7" s="26" t="s">
        <v>240</v>
      </c>
      <c r="D7" s="26" t="s">
        <v>241</v>
      </c>
      <c r="E7" s="22"/>
      <c r="F7" s="60" t="s">
        <v>292</v>
      </c>
      <c r="G7" s="61" t="s">
        <v>291</v>
      </c>
      <c r="H7" s="59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</row>
    <row r="8" spans="1:26" x14ac:dyDescent="0.25">
      <c r="A8" s="22"/>
      <c r="B8" s="27" t="s">
        <v>82</v>
      </c>
      <c r="C8" s="28" t="s">
        <v>246</v>
      </c>
      <c r="D8" s="29" t="s">
        <v>247</v>
      </c>
      <c r="E8" s="22"/>
      <c r="F8" s="25" t="s">
        <v>293</v>
      </c>
      <c r="G8" s="58">
        <v>8.2500000000000004E-2</v>
      </c>
      <c r="H8" s="46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</row>
    <row r="9" spans="1:26" x14ac:dyDescent="0.25">
      <c r="A9" s="22"/>
      <c r="B9" s="30" t="s">
        <v>256</v>
      </c>
      <c r="C9" s="31" t="s">
        <v>252</v>
      </c>
      <c r="D9" s="32" t="s">
        <v>253</v>
      </c>
      <c r="E9" s="22"/>
      <c r="F9" s="25" t="s">
        <v>294</v>
      </c>
      <c r="G9" s="76" t="s">
        <v>295</v>
      </c>
      <c r="H9" s="77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</row>
    <row r="10" spans="1:26" x14ac:dyDescent="0.25">
      <c r="A10" s="22"/>
      <c r="B10" s="30" t="s">
        <v>239</v>
      </c>
      <c r="C10" s="31" t="s">
        <v>250</v>
      </c>
      <c r="D10" s="32" t="s">
        <v>251</v>
      </c>
      <c r="E10" s="22"/>
      <c r="F10" s="25" t="s">
        <v>317</v>
      </c>
      <c r="G10" s="76" t="s">
        <v>318</v>
      </c>
      <c r="H10" s="77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</row>
    <row r="11" spans="1:26" x14ac:dyDescent="0.25">
      <c r="A11" s="22"/>
      <c r="B11" s="30" t="s">
        <v>15</v>
      </c>
      <c r="C11" s="31" t="s">
        <v>248</v>
      </c>
      <c r="D11" s="32" t="s">
        <v>249</v>
      </c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</row>
    <row r="12" spans="1:26" x14ac:dyDescent="0.25">
      <c r="A12" s="22"/>
      <c r="B12" s="30" t="s">
        <v>244</v>
      </c>
      <c r="C12" s="31" t="s">
        <v>254</v>
      </c>
      <c r="D12" s="32" t="s">
        <v>255</v>
      </c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</row>
    <row r="13" spans="1:26" x14ac:dyDescent="0.25">
      <c r="A13" s="22"/>
      <c r="B13" s="30"/>
      <c r="C13" s="31"/>
      <c r="D13" s="3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</row>
    <row r="14" spans="1:26" x14ac:dyDescent="0.25">
      <c r="A14" s="22"/>
      <c r="B14" s="30"/>
      <c r="C14" s="31"/>
      <c r="D14" s="3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</row>
    <row r="15" spans="1:26" x14ac:dyDescent="0.25">
      <c r="A15" s="22"/>
      <c r="B15" s="30"/>
      <c r="C15" s="31"/>
      <c r="D15" s="3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</row>
    <row r="16" spans="1:26" x14ac:dyDescent="0.25">
      <c r="A16" s="22"/>
      <c r="B16" s="30"/>
      <c r="C16" s="31"/>
      <c r="D16" s="3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</row>
    <row r="17" spans="1:26" x14ac:dyDescent="0.25">
      <c r="A17" s="22"/>
      <c r="B17" s="33"/>
      <c r="C17" s="34"/>
      <c r="D17" s="35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</row>
    <row r="18" spans="1:26" x14ac:dyDescent="0.2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</row>
    <row r="19" spans="1:26" x14ac:dyDescent="0.2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</row>
    <row r="20" spans="1:26" x14ac:dyDescent="0.2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</row>
    <row r="21" spans="1:26" x14ac:dyDescent="0.2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</row>
    <row r="22" spans="1:26" x14ac:dyDescent="0.2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</row>
    <row r="23" spans="1:26" x14ac:dyDescent="0.2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</row>
    <row r="24" spans="1:26" x14ac:dyDescent="0.2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</row>
    <row r="25" spans="1:26" x14ac:dyDescent="0.2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</row>
    <row r="26" spans="1:26" x14ac:dyDescent="0.2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</row>
    <row r="27" spans="1:26" x14ac:dyDescent="0.2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</row>
    <row r="28" spans="1:26" x14ac:dyDescent="0.2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</row>
    <row r="29" spans="1:26" x14ac:dyDescent="0.2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</row>
    <row r="30" spans="1:26" x14ac:dyDescent="0.2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</row>
    <row r="31" spans="1:26" x14ac:dyDescent="0.2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</row>
    <row r="32" spans="1:26" x14ac:dyDescent="0.2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</row>
    <row r="33" spans="1:26" x14ac:dyDescent="0.2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</row>
    <row r="34" spans="1:26" x14ac:dyDescent="0.2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</row>
    <row r="35" spans="1:26" x14ac:dyDescent="0.2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</row>
    <row r="36" spans="1:26" x14ac:dyDescent="0.2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</row>
    <row r="37" spans="1:26" x14ac:dyDescent="0.2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</row>
    <row r="38" spans="1:26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</row>
    <row r="39" spans="1:26" x14ac:dyDescent="0.2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</row>
    <row r="40" spans="1:26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</row>
    <row r="41" spans="1:26" x14ac:dyDescent="0.2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</row>
    <row r="42" spans="1:26" x14ac:dyDescent="0.2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</row>
    <row r="43" spans="1:26" x14ac:dyDescent="0.2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</row>
    <row r="44" spans="1:26" x14ac:dyDescent="0.2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</row>
    <row r="45" spans="1:26" x14ac:dyDescent="0.2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</row>
    <row r="46" spans="1:26" x14ac:dyDescent="0.2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</row>
    <row r="47" spans="1:26" x14ac:dyDescent="0.2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</row>
    <row r="48" spans="1:26" x14ac:dyDescent="0.2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</row>
  </sheetData>
  <mergeCells count="7">
    <mergeCell ref="G10:H10"/>
    <mergeCell ref="B6:D6"/>
    <mergeCell ref="B1:P1"/>
    <mergeCell ref="F6:H6"/>
    <mergeCell ref="G9:H9"/>
    <mergeCell ref="C4:H4"/>
    <mergeCell ref="C3:H3"/>
  </mergeCells>
  <conditionalFormatting sqref="B8:D17">
    <cfRule type="expression" dxfId="5" priority="1">
      <formula>MOD(ROW(),2)=0</formula>
    </cfRule>
  </conditionalFormatting>
  <dataValidations count="1">
    <dataValidation type="list" allowBlank="1" showInputMessage="1" showErrorMessage="1" sqref="I7:I33 K7:K33">
      <formula1>"Yes,No"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OS"/>
  <dimension ref="A1:X140"/>
  <sheetViews>
    <sheetView tabSelected="1" topLeftCell="C1" zoomScaleNormal="100" workbookViewId="0">
      <selection activeCell="K3" sqref="K3:K4"/>
    </sheetView>
  </sheetViews>
  <sheetFormatPr defaultRowHeight="15" x14ac:dyDescent="0.25"/>
  <cols>
    <col min="1" max="1" width="13.28515625" bestFit="1" customWidth="1"/>
    <col min="2" max="2" width="8.85546875" customWidth="1"/>
    <col min="3" max="3" width="20.7109375" customWidth="1"/>
    <col min="4" max="4" width="9.140625" customWidth="1"/>
    <col min="5" max="5" width="11.140625" customWidth="1"/>
    <col min="6" max="8" width="15.7109375" customWidth="1"/>
    <col min="9" max="9" width="14.85546875" customWidth="1"/>
    <col min="10" max="10" width="9.5703125" bestFit="1" customWidth="1"/>
    <col min="11" max="11" width="15.7109375" customWidth="1"/>
    <col min="12" max="12" width="2.7109375" customWidth="1"/>
    <col min="13" max="13" width="19.28515625" customWidth="1"/>
    <col min="14" max="14" width="4.140625" bestFit="1" customWidth="1"/>
    <col min="16" max="16" width="10.5703125" bestFit="1" customWidth="1"/>
    <col min="17" max="17" width="39.140625" customWidth="1"/>
    <col min="18" max="18" width="14.28515625" customWidth="1"/>
    <col min="20" max="20" width="57.42578125" customWidth="1"/>
  </cols>
  <sheetData>
    <row r="1" spans="1:24" ht="39" x14ac:dyDescent="0.6">
      <c r="A1" s="1"/>
      <c r="B1" s="1"/>
      <c r="C1" s="84" t="s">
        <v>0</v>
      </c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50"/>
      <c r="P1" s="50"/>
      <c r="Q1" s="50"/>
      <c r="R1" s="51"/>
      <c r="S1" s="51"/>
      <c r="T1" s="51"/>
    </row>
    <row r="2" spans="1:24" ht="15" customHeight="1" x14ac:dyDescent="0.25">
      <c r="A2" s="55" t="s">
        <v>281</v>
      </c>
      <c r="B2" s="56">
        <f ca="1">IFERROR(MATCH(O7,Ord_ID,0)+2,"")</f>
        <v>12</v>
      </c>
      <c r="C2" s="47"/>
      <c r="D2" s="37"/>
      <c r="E2" s="37"/>
      <c r="F2" s="37"/>
      <c r="G2" s="17"/>
      <c r="H2" s="17"/>
      <c r="I2" s="17"/>
      <c r="J2" s="17"/>
      <c r="K2" s="17"/>
      <c r="L2" s="17"/>
      <c r="M2" s="17"/>
      <c r="N2" s="17"/>
      <c r="O2" s="17"/>
      <c r="P2" s="111">
        <f t="shared" ref="P2" si="0">N2*O2</f>
        <v>0</v>
      </c>
      <c r="Q2" s="17"/>
      <c r="R2" s="17"/>
      <c r="S2" s="17"/>
      <c r="T2" s="17"/>
    </row>
    <row r="3" spans="1:24" x14ac:dyDescent="0.25">
      <c r="A3" s="55" t="s">
        <v>282</v>
      </c>
      <c r="B3" s="56">
        <f ca="1">IFERROR(MAX(Ord_ID)+1,10000)</f>
        <v>1014</v>
      </c>
      <c r="C3" s="47"/>
      <c r="D3" s="37"/>
      <c r="E3" s="37"/>
      <c r="F3" s="37"/>
      <c r="G3" s="17"/>
      <c r="H3" s="17"/>
      <c r="I3" s="17"/>
      <c r="J3" s="85" t="s">
        <v>264</v>
      </c>
      <c r="K3" s="138"/>
      <c r="L3" s="17"/>
      <c r="M3" s="87" t="s">
        <v>279</v>
      </c>
      <c r="N3" s="87"/>
      <c r="O3" s="87"/>
      <c r="P3" s="87"/>
      <c r="Q3" s="17"/>
      <c r="R3" s="17"/>
      <c r="S3" s="17"/>
      <c r="T3" s="17"/>
    </row>
    <row r="4" spans="1:24" x14ac:dyDescent="0.25">
      <c r="A4" s="55" t="s">
        <v>245</v>
      </c>
      <c r="B4" s="56">
        <v>1</v>
      </c>
      <c r="C4" s="47"/>
      <c r="D4" s="37"/>
      <c r="E4" s="37"/>
      <c r="F4" s="37"/>
      <c r="G4" s="17"/>
      <c r="H4" s="17"/>
      <c r="I4" s="17"/>
      <c r="J4" s="85"/>
      <c r="K4" s="138"/>
      <c r="L4" s="17"/>
      <c r="M4" s="88" t="s">
        <v>269</v>
      </c>
      <c r="N4" s="88"/>
      <c r="O4" s="88"/>
      <c r="P4" s="88"/>
      <c r="Q4" s="17"/>
      <c r="R4" s="17"/>
      <c r="S4" s="17"/>
      <c r="T4" s="17"/>
    </row>
    <row r="5" spans="1:24" x14ac:dyDescent="0.25">
      <c r="A5" s="38"/>
      <c r="B5" s="71"/>
      <c r="C5" s="47"/>
      <c r="D5" s="37"/>
      <c r="E5" s="37"/>
      <c r="F5" s="37"/>
      <c r="G5" s="17"/>
      <c r="H5" s="17"/>
      <c r="I5" s="17"/>
      <c r="J5" s="17"/>
      <c r="K5" s="17"/>
      <c r="L5" s="17"/>
      <c r="M5" s="88" t="s">
        <v>270</v>
      </c>
      <c r="N5" s="88"/>
      <c r="O5" s="88"/>
      <c r="P5" s="88"/>
      <c r="Q5" s="17"/>
      <c r="R5" s="17"/>
      <c r="S5" s="17"/>
      <c r="T5" s="17"/>
      <c r="W5" s="99" t="s">
        <v>275</v>
      </c>
      <c r="X5" s="102">
        <v>0</v>
      </c>
    </row>
    <row r="6" spans="1:24" x14ac:dyDescent="0.25">
      <c r="A6" s="55" t="s">
        <v>296</v>
      </c>
      <c r="B6" s="56"/>
      <c r="C6" s="47"/>
      <c r="D6" s="37"/>
      <c r="E6" s="37"/>
      <c r="F6" s="37"/>
      <c r="G6" s="17"/>
      <c r="H6" s="17"/>
      <c r="I6" s="17"/>
      <c r="J6" s="79" t="s">
        <v>265</v>
      </c>
      <c r="K6" s="86">
        <v>1</v>
      </c>
      <c r="L6" s="17"/>
      <c r="M6" s="88" t="s">
        <v>271</v>
      </c>
      <c r="N6" s="88"/>
      <c r="O6" s="88"/>
      <c r="P6" s="88"/>
      <c r="Q6" s="17"/>
      <c r="R6" s="17"/>
      <c r="S6" s="17"/>
      <c r="T6" s="17"/>
      <c r="W6" s="99" t="str">
        <f>TaxName&amp;":"</f>
        <v>Tax:</v>
      </c>
      <c r="X6" s="102">
        <f>SUMIF($R$11:$R$61,"&lt;&gt;",$P$11:$P$61)*TaxRate</f>
        <v>1.9552500000000004</v>
      </c>
    </row>
    <row r="7" spans="1:24" x14ac:dyDescent="0.25">
      <c r="A7" s="1"/>
      <c r="B7" s="1"/>
      <c r="C7" s="47"/>
      <c r="D7" s="37"/>
      <c r="E7" s="37"/>
      <c r="F7" s="37"/>
      <c r="G7" s="17"/>
      <c r="H7" s="17"/>
      <c r="I7" s="17"/>
      <c r="J7" s="79"/>
      <c r="K7" s="86"/>
      <c r="L7" s="17"/>
      <c r="M7" s="80" t="s">
        <v>272</v>
      </c>
      <c r="N7" s="80"/>
      <c r="O7" s="81">
        <v>1013</v>
      </c>
      <c r="P7" s="81"/>
      <c r="Q7" s="17"/>
      <c r="R7" s="17"/>
      <c r="S7" s="17"/>
      <c r="T7" s="17"/>
      <c r="W7" s="99" t="s">
        <v>276</v>
      </c>
      <c r="X7" s="102">
        <f>X5+X6</f>
        <v>1.9552500000000004</v>
      </c>
    </row>
    <row r="8" spans="1:24" x14ac:dyDescent="0.25">
      <c r="A8" s="1"/>
      <c r="B8" s="1"/>
      <c r="C8" s="47"/>
      <c r="D8" s="37"/>
      <c r="E8" s="37"/>
      <c r="F8" s="37"/>
      <c r="G8" s="17"/>
      <c r="H8" s="17"/>
      <c r="I8" s="17"/>
      <c r="J8" s="17"/>
      <c r="K8" s="17"/>
      <c r="L8" s="17"/>
      <c r="M8" s="80" t="s">
        <v>273</v>
      </c>
      <c r="N8" s="80"/>
      <c r="O8" s="82">
        <v>44457.414317129631</v>
      </c>
      <c r="P8" s="82"/>
      <c r="Q8" s="17"/>
      <c r="R8" s="17"/>
      <c r="S8" s="17"/>
      <c r="T8" s="17"/>
      <c r="W8" s="99" t="s">
        <v>277</v>
      </c>
      <c r="X8" s="102">
        <f>$K$17</f>
        <v>0</v>
      </c>
    </row>
    <row r="9" spans="1:24" x14ac:dyDescent="0.25">
      <c r="A9" s="1"/>
      <c r="B9" s="1"/>
      <c r="C9" s="47"/>
      <c r="D9" s="37"/>
      <c r="E9" s="37"/>
      <c r="F9" s="37"/>
      <c r="G9" s="17"/>
      <c r="H9" s="17"/>
      <c r="I9" s="17"/>
      <c r="J9" s="17"/>
      <c r="K9" s="17"/>
      <c r="L9" s="17"/>
      <c r="M9" s="80" t="s">
        <v>274</v>
      </c>
      <c r="N9" s="80"/>
      <c r="O9" s="81" t="s">
        <v>318</v>
      </c>
      <c r="P9" s="81"/>
      <c r="Q9" s="17"/>
      <c r="R9" s="17"/>
      <c r="S9" s="17"/>
      <c r="T9" s="17"/>
      <c r="W9" s="99" t="s">
        <v>278</v>
      </c>
      <c r="X9" s="102" t="str">
        <f>$K$20</f>
        <v/>
      </c>
    </row>
    <row r="10" spans="1:24" x14ac:dyDescent="0.25">
      <c r="A10" s="1"/>
      <c r="B10" s="1"/>
      <c r="C10" s="47"/>
      <c r="D10" s="37"/>
      <c r="E10" s="37"/>
      <c r="F10" s="37"/>
      <c r="G10" s="17"/>
      <c r="H10" s="17"/>
      <c r="I10" s="17"/>
      <c r="J10" s="17"/>
      <c r="K10" s="17"/>
      <c r="L10" s="17"/>
      <c r="M10" s="57" t="s">
        <v>260</v>
      </c>
      <c r="N10" s="57" t="s">
        <v>261</v>
      </c>
      <c r="O10" s="57" t="s">
        <v>262</v>
      </c>
      <c r="P10" s="57" t="s">
        <v>263</v>
      </c>
      <c r="Q10" s="17"/>
      <c r="R10" s="63" t="s">
        <v>288</v>
      </c>
      <c r="S10" s="64" t="s">
        <v>290</v>
      </c>
      <c r="T10" s="17"/>
    </row>
    <row r="11" spans="1:24" x14ac:dyDescent="0.25">
      <c r="A11" s="1"/>
      <c r="B11" s="1"/>
      <c r="C11" s="47"/>
      <c r="D11" s="37"/>
      <c r="E11" s="37"/>
      <c r="F11" s="37"/>
      <c r="G11" s="17"/>
      <c r="H11" s="17"/>
      <c r="I11" s="17"/>
      <c r="J11" s="17"/>
      <c r="K11" s="17"/>
      <c r="L11" s="17"/>
      <c r="M11" s="68" t="s">
        <v>308</v>
      </c>
      <c r="N11" s="69">
        <v>1</v>
      </c>
      <c r="O11" s="95">
        <v>3.96</v>
      </c>
      <c r="P11" s="70">
        <f>N11*O11</f>
        <v>3.96</v>
      </c>
      <c r="Q11" s="17"/>
      <c r="R11" s="114" t="s">
        <v>116</v>
      </c>
      <c r="S11" s="17">
        <v>49</v>
      </c>
      <c r="T11" s="17"/>
    </row>
    <row r="12" spans="1:24" x14ac:dyDescent="0.25">
      <c r="A12" s="1"/>
      <c r="B12" s="1"/>
      <c r="C12" s="47"/>
      <c r="D12" s="17"/>
      <c r="E12" s="17"/>
      <c r="F12" s="17"/>
      <c r="G12" s="17"/>
      <c r="H12" s="17"/>
      <c r="I12" s="17"/>
      <c r="J12" s="17"/>
      <c r="K12" s="17"/>
      <c r="L12" s="17"/>
      <c r="M12" s="44" t="s">
        <v>198</v>
      </c>
      <c r="N12" s="45">
        <v>1</v>
      </c>
      <c r="O12" s="62">
        <v>8.86</v>
      </c>
      <c r="P12" s="52">
        <f>N12*O12</f>
        <v>8.86</v>
      </c>
      <c r="Q12" s="17"/>
      <c r="R12" s="114" t="s">
        <v>125</v>
      </c>
      <c r="S12" s="17">
        <v>50</v>
      </c>
      <c r="T12" s="17"/>
    </row>
    <row r="13" spans="1:24" x14ac:dyDescent="0.25">
      <c r="A13" s="1"/>
      <c r="B13" s="1"/>
      <c r="C13" s="47"/>
      <c r="D13" s="17"/>
      <c r="E13" s="17"/>
      <c r="F13" s="17"/>
      <c r="G13" s="17"/>
      <c r="H13" s="17"/>
      <c r="I13" s="17"/>
      <c r="J13" s="17"/>
      <c r="K13" s="17"/>
      <c r="L13" s="17"/>
      <c r="M13" s="44" t="s">
        <v>327</v>
      </c>
      <c r="N13" s="45">
        <v>1</v>
      </c>
      <c r="O13" s="62">
        <v>0.89</v>
      </c>
      <c r="P13" s="52">
        <f>N13*O13</f>
        <v>0.89</v>
      </c>
      <c r="Q13" s="17"/>
      <c r="R13" s="114" t="s">
        <v>328</v>
      </c>
      <c r="S13" s="17"/>
      <c r="T13" s="17"/>
    </row>
    <row r="14" spans="1:24" x14ac:dyDescent="0.25">
      <c r="A14" s="1"/>
      <c r="B14" s="1"/>
      <c r="C14" s="47"/>
      <c r="D14" s="17"/>
      <c r="E14" s="17"/>
      <c r="F14" s="17"/>
      <c r="G14" s="17"/>
      <c r="H14" s="17"/>
      <c r="I14" s="17"/>
      <c r="J14" s="79" t="s">
        <v>267</v>
      </c>
      <c r="K14" s="83">
        <f>SUMIF(R11:R61,"&lt;&gt;",P11:P61)+(SUMIF(R11:R61,"&lt;&gt;",P11:P61)*TaxRate)</f>
        <v>25.655250000000002</v>
      </c>
      <c r="L14" s="17"/>
      <c r="M14" s="37" t="s">
        <v>222</v>
      </c>
      <c r="N14" s="65">
        <v>2</v>
      </c>
      <c r="O14" s="66">
        <v>2.12</v>
      </c>
      <c r="P14" s="67">
        <f>N14*O14</f>
        <v>4.24</v>
      </c>
      <c r="Q14" s="17"/>
      <c r="R14" s="114" t="s">
        <v>46</v>
      </c>
      <c r="S14" s="17"/>
      <c r="T14" s="17"/>
    </row>
    <row r="15" spans="1:24" ht="15" customHeight="1" x14ac:dyDescent="0.25">
      <c r="A15" s="1"/>
      <c r="B15" s="1"/>
      <c r="C15" s="47"/>
      <c r="D15" s="17"/>
      <c r="E15" s="17"/>
      <c r="F15" s="17"/>
      <c r="G15" s="17"/>
      <c r="H15" s="17"/>
      <c r="I15" s="17"/>
      <c r="J15" s="79"/>
      <c r="K15" s="83"/>
      <c r="L15" s="17"/>
      <c r="M15" s="37" t="s">
        <v>310</v>
      </c>
      <c r="N15" s="65">
        <v>1</v>
      </c>
      <c r="O15" s="66">
        <v>2.77</v>
      </c>
      <c r="P15" s="67">
        <f>N15*O15</f>
        <v>2.77</v>
      </c>
      <c r="Q15" s="17"/>
      <c r="R15" s="114" t="s">
        <v>120</v>
      </c>
      <c r="S15" s="17"/>
      <c r="T15" s="17"/>
    </row>
    <row r="16" spans="1:24" ht="15" customHeight="1" x14ac:dyDescent="0.25">
      <c r="A16" s="1"/>
      <c r="B16" s="1"/>
      <c r="C16" s="47"/>
      <c r="D16" s="17"/>
      <c r="E16" s="17"/>
      <c r="F16" s="17"/>
      <c r="G16" s="17"/>
      <c r="H16" s="17"/>
      <c r="I16" s="17"/>
      <c r="J16" s="17"/>
      <c r="K16" s="17"/>
      <c r="L16" s="17"/>
      <c r="M16" s="37" t="s">
        <v>322</v>
      </c>
      <c r="N16" s="65">
        <v>2</v>
      </c>
      <c r="O16" s="66">
        <v>1.49</v>
      </c>
      <c r="P16" s="100">
        <f>N16*O16</f>
        <v>2.98</v>
      </c>
      <c r="Q16" s="17"/>
      <c r="R16" s="114" t="s">
        <v>319</v>
      </c>
      <c r="S16" s="17"/>
      <c r="T16" s="17"/>
    </row>
    <row r="17" spans="1:20" x14ac:dyDescent="0.25">
      <c r="A17" s="1"/>
      <c r="B17" s="1"/>
      <c r="C17" s="47"/>
      <c r="D17" s="17"/>
      <c r="E17" s="17"/>
      <c r="F17" s="17"/>
      <c r="G17" s="17"/>
      <c r="H17" s="17"/>
      <c r="I17" s="17"/>
      <c r="J17" s="79" t="s">
        <v>266</v>
      </c>
      <c r="K17" s="120"/>
      <c r="L17" s="17"/>
      <c r="M17" s="37"/>
      <c r="N17" s="65"/>
      <c r="O17" s="66" t="s">
        <v>275</v>
      </c>
      <c r="P17" s="100">
        <f>SUM(P11:P16)</f>
        <v>23.700000000000003</v>
      </c>
      <c r="Q17" s="17"/>
      <c r="R17" s="114"/>
      <c r="S17" s="17"/>
      <c r="T17" s="17"/>
    </row>
    <row r="18" spans="1:20" x14ac:dyDescent="0.25">
      <c r="A18" s="1"/>
      <c r="B18" s="1"/>
      <c r="C18" s="47"/>
      <c r="D18" s="17"/>
      <c r="E18" s="17"/>
      <c r="F18" s="17"/>
      <c r="G18" s="17"/>
      <c r="H18" s="17"/>
      <c r="I18" s="17"/>
      <c r="J18" s="79"/>
      <c r="K18" s="105"/>
      <c r="L18" s="17"/>
      <c r="M18" s="37"/>
      <c r="N18" s="65"/>
      <c r="O18" s="66" t="str">
        <f>TaxName&amp;":"</f>
        <v>Tax:</v>
      </c>
      <c r="P18" s="100">
        <f>SUMIF($R$11:$R$61,"&lt;&gt;",$P$11:$P$61)*TaxRate</f>
        <v>1.9552500000000004</v>
      </c>
      <c r="Q18" s="17"/>
      <c r="R18" s="114"/>
      <c r="S18" s="17"/>
      <c r="T18" s="17"/>
    </row>
    <row r="19" spans="1:20" x14ac:dyDescent="0.25">
      <c r="A19" s="1"/>
      <c r="B19" s="1"/>
      <c r="C19" s="47"/>
      <c r="D19" s="17"/>
      <c r="E19" s="17"/>
      <c r="F19" s="17"/>
      <c r="G19" s="17"/>
      <c r="H19" s="17"/>
      <c r="I19" s="17"/>
      <c r="J19" s="17"/>
      <c r="K19" s="17"/>
      <c r="L19" s="17"/>
      <c r="M19" s="37"/>
      <c r="N19" s="65"/>
      <c r="O19" s="66" t="s">
        <v>276</v>
      </c>
      <c r="P19" s="100">
        <f>P17+P18</f>
        <v>25.655250000000002</v>
      </c>
      <c r="Q19" s="17"/>
      <c r="R19" s="114"/>
      <c r="S19" s="17"/>
      <c r="T19" s="17"/>
    </row>
    <row r="20" spans="1:20" ht="15" customHeight="1" x14ac:dyDescent="0.25">
      <c r="A20" s="1"/>
      <c r="B20" s="1"/>
      <c r="C20" s="47"/>
      <c r="D20" s="17"/>
      <c r="E20" s="17"/>
      <c r="F20" s="17"/>
      <c r="G20" s="17"/>
      <c r="H20" s="17"/>
      <c r="I20" s="17"/>
      <c r="J20" s="79" t="s">
        <v>268</v>
      </c>
      <c r="K20" s="104" t="str">
        <f>IF(K17="","",K17-K14)</f>
        <v/>
      </c>
      <c r="L20" s="17"/>
      <c r="M20" s="37"/>
      <c r="N20" s="65"/>
      <c r="O20" s="66" t="s">
        <v>277</v>
      </c>
      <c r="P20" s="100">
        <f>$K$17</f>
        <v>0</v>
      </c>
      <c r="Q20" s="17"/>
      <c r="R20" s="114"/>
      <c r="S20" s="17"/>
      <c r="T20" s="17"/>
    </row>
    <row r="21" spans="1:20" ht="15" customHeight="1" x14ac:dyDescent="0.25">
      <c r="A21" s="1"/>
      <c r="B21" s="1"/>
      <c r="C21" s="47"/>
      <c r="D21" s="17"/>
      <c r="E21" s="17"/>
      <c r="F21" s="17"/>
      <c r="G21" s="17"/>
      <c r="H21" s="17"/>
      <c r="I21" s="17"/>
      <c r="J21" s="79"/>
      <c r="K21" s="104"/>
      <c r="L21" s="17"/>
      <c r="M21" s="37"/>
      <c r="N21" s="65"/>
      <c r="O21" s="66" t="s">
        <v>278</v>
      </c>
      <c r="P21" s="100" t="str">
        <f>$K$20</f>
        <v/>
      </c>
      <c r="Q21" s="17"/>
      <c r="R21" s="114"/>
      <c r="S21" s="17"/>
      <c r="T21" s="17"/>
    </row>
    <row r="22" spans="1:20" x14ac:dyDescent="0.25">
      <c r="A22" s="1"/>
      <c r="B22" s="1"/>
      <c r="C22" s="47"/>
      <c r="D22" s="17"/>
      <c r="E22" s="17"/>
      <c r="F22" s="17"/>
      <c r="G22" s="17"/>
      <c r="H22" s="17"/>
      <c r="I22" s="17"/>
      <c r="J22" s="17"/>
      <c r="K22" s="17"/>
      <c r="L22" s="17"/>
      <c r="M22" s="37"/>
      <c r="N22" s="65"/>
      <c r="O22" s="66"/>
      <c r="P22" s="100"/>
      <c r="Q22" s="17"/>
      <c r="R22" s="114"/>
      <c r="S22" s="17"/>
      <c r="T22" s="17"/>
    </row>
    <row r="23" spans="1:20" x14ac:dyDescent="0.25">
      <c r="A23" s="1"/>
      <c r="B23" s="1"/>
      <c r="C23" s="49"/>
      <c r="D23" s="17"/>
      <c r="E23" s="17"/>
      <c r="F23" s="17"/>
      <c r="G23" s="17"/>
      <c r="H23" s="17"/>
      <c r="I23" s="17"/>
      <c r="J23" s="17"/>
      <c r="K23" s="17"/>
      <c r="L23" s="17"/>
      <c r="M23" s="37"/>
      <c r="N23" s="65"/>
      <c r="O23" s="66"/>
      <c r="P23" s="100"/>
      <c r="Q23" s="17"/>
      <c r="R23" s="114"/>
      <c r="S23" s="17"/>
      <c r="T23" s="17"/>
    </row>
    <row r="24" spans="1:20" x14ac:dyDescent="0.25">
      <c r="A24" s="1"/>
      <c r="B24" s="1"/>
      <c r="C24" s="49"/>
      <c r="D24" s="17"/>
      <c r="E24" s="17"/>
      <c r="F24" s="17"/>
      <c r="G24" s="17"/>
      <c r="H24" s="17"/>
      <c r="I24" s="17"/>
      <c r="J24" s="17"/>
      <c r="K24" s="17"/>
      <c r="L24" s="17"/>
      <c r="M24" s="37"/>
      <c r="N24" s="65"/>
      <c r="O24" s="66"/>
      <c r="P24" s="67"/>
      <c r="Q24" s="17"/>
      <c r="R24" s="114"/>
      <c r="S24" s="17"/>
      <c r="T24" s="17"/>
    </row>
    <row r="25" spans="1:20" x14ac:dyDescent="0.25">
      <c r="A25" s="1"/>
      <c r="B25" s="1"/>
      <c r="C25" s="49"/>
      <c r="D25" s="17"/>
      <c r="E25" s="17"/>
      <c r="F25" s="17"/>
      <c r="G25" s="17"/>
      <c r="H25" s="17"/>
      <c r="I25" s="17"/>
      <c r="J25" s="17"/>
      <c r="K25" s="17"/>
      <c r="L25" s="17"/>
      <c r="M25" s="37"/>
      <c r="N25" s="65"/>
      <c r="O25" s="66"/>
      <c r="P25" s="67"/>
      <c r="Q25" s="17"/>
      <c r="R25" s="114"/>
      <c r="S25" s="17"/>
      <c r="T25" s="17"/>
    </row>
    <row r="26" spans="1:20" x14ac:dyDescent="0.25">
      <c r="A26" s="1"/>
      <c r="B26" s="1"/>
      <c r="C26" s="49"/>
      <c r="D26" s="17"/>
      <c r="E26" s="17"/>
      <c r="F26" s="17"/>
      <c r="G26" s="17"/>
      <c r="H26" s="17"/>
      <c r="I26" s="17"/>
      <c r="J26" s="17"/>
      <c r="K26" s="17"/>
      <c r="L26" s="17"/>
      <c r="M26" s="37"/>
      <c r="N26" s="65"/>
      <c r="O26" s="96"/>
      <c r="P26" s="67"/>
      <c r="Q26" s="17"/>
      <c r="R26" s="114"/>
      <c r="S26" s="17"/>
      <c r="T26" s="17"/>
    </row>
    <row r="27" spans="1:20" x14ac:dyDescent="0.25">
      <c r="A27" s="1"/>
      <c r="B27" s="1"/>
      <c r="C27" s="49"/>
      <c r="D27" s="17"/>
      <c r="E27" s="17"/>
      <c r="F27" s="17"/>
      <c r="G27" s="17"/>
      <c r="H27" s="17"/>
      <c r="I27" s="17"/>
      <c r="J27" s="17"/>
      <c r="K27" s="17"/>
      <c r="L27" s="17"/>
      <c r="M27" s="37"/>
      <c r="N27" s="65"/>
      <c r="O27" s="97"/>
      <c r="P27" s="67"/>
      <c r="Q27" s="17"/>
      <c r="R27" s="114"/>
      <c r="S27" s="17"/>
      <c r="T27" s="17"/>
    </row>
    <row r="28" spans="1:20" x14ac:dyDescent="0.25">
      <c r="A28" s="1"/>
      <c r="B28" s="1"/>
      <c r="C28" s="49"/>
      <c r="D28" s="17"/>
      <c r="E28" s="17"/>
      <c r="F28" s="17"/>
      <c r="G28" s="17"/>
      <c r="H28" s="17"/>
      <c r="I28" s="17"/>
      <c r="J28" s="17"/>
      <c r="K28" s="17"/>
      <c r="L28" s="17"/>
      <c r="M28" s="37"/>
      <c r="N28" s="65"/>
      <c r="O28" s="97"/>
      <c r="P28" s="67"/>
      <c r="Q28" s="17"/>
      <c r="R28" s="114"/>
      <c r="S28" s="17"/>
      <c r="T28" s="17"/>
    </row>
    <row r="29" spans="1:20" x14ac:dyDescent="0.25">
      <c r="A29" s="1"/>
      <c r="B29" s="1"/>
      <c r="C29" s="49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94"/>
      <c r="O29" s="98"/>
      <c r="P29" s="101"/>
      <c r="Q29" s="17"/>
      <c r="R29" s="114"/>
      <c r="S29" s="17"/>
      <c r="T29" s="17"/>
    </row>
    <row r="30" spans="1:20" x14ac:dyDescent="0.25">
      <c r="A30" s="1"/>
      <c r="B30" s="1"/>
      <c r="C30" s="48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94"/>
      <c r="O30" s="98"/>
      <c r="P30" s="101"/>
      <c r="Q30" s="17"/>
      <c r="R30" s="114"/>
      <c r="S30" s="17"/>
      <c r="T30" s="17"/>
    </row>
    <row r="31" spans="1:20" x14ac:dyDescent="0.25">
      <c r="A31" s="1"/>
      <c r="B31" s="1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94"/>
      <c r="O31" s="98"/>
      <c r="P31" s="101"/>
      <c r="Q31" s="17"/>
      <c r="R31" s="114"/>
      <c r="S31" s="17"/>
      <c r="T31" s="17"/>
    </row>
    <row r="32" spans="1:20" x14ac:dyDescent="0.25">
      <c r="A32" s="1"/>
      <c r="B32" s="1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94"/>
      <c r="O32" s="98"/>
      <c r="P32" s="101"/>
      <c r="Q32" s="17"/>
      <c r="R32" s="114"/>
      <c r="S32" s="17"/>
      <c r="T32" s="17"/>
    </row>
    <row r="33" spans="1:20" x14ac:dyDescent="0.25">
      <c r="A33" s="1"/>
      <c r="B33" s="1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94"/>
      <c r="O33" s="98"/>
      <c r="P33" s="101"/>
      <c r="Q33" s="17"/>
      <c r="R33" s="114"/>
      <c r="S33" s="17"/>
      <c r="T33" s="17"/>
    </row>
    <row r="34" spans="1:20" x14ac:dyDescent="0.25">
      <c r="A34" s="1"/>
      <c r="B34" s="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94"/>
      <c r="O34" s="98"/>
      <c r="P34" s="101"/>
      <c r="Q34" s="17"/>
      <c r="R34" s="114"/>
      <c r="S34" s="17"/>
      <c r="T34" s="17"/>
    </row>
    <row r="35" spans="1:20" x14ac:dyDescent="0.25">
      <c r="A35" s="1"/>
      <c r="B35" s="1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94"/>
      <c r="O35" s="98"/>
      <c r="P35" s="101"/>
      <c r="Q35" s="17"/>
      <c r="R35" s="114"/>
      <c r="S35" s="17"/>
      <c r="T35" s="17"/>
    </row>
    <row r="36" spans="1:20" x14ac:dyDescent="0.25">
      <c r="A36" s="1"/>
      <c r="B36" s="1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94"/>
      <c r="O36" s="98"/>
      <c r="P36" s="101"/>
      <c r="Q36" s="17"/>
      <c r="R36" s="114"/>
      <c r="S36" s="17"/>
      <c r="T36" s="17"/>
    </row>
    <row r="37" spans="1:20" x14ac:dyDescent="0.25">
      <c r="A37" s="1"/>
      <c r="B37" s="1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94"/>
      <c r="O37" s="98"/>
      <c r="P37" s="101"/>
      <c r="Q37" s="17"/>
      <c r="R37" s="114"/>
      <c r="S37" s="17"/>
      <c r="T37" s="17"/>
    </row>
    <row r="38" spans="1:20" x14ac:dyDescent="0.25">
      <c r="A38" s="1"/>
      <c r="B38" s="1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94"/>
      <c r="O38" s="98"/>
      <c r="P38" s="101"/>
      <c r="Q38" s="17"/>
      <c r="R38" s="114"/>
      <c r="S38" s="17"/>
      <c r="T38" s="17"/>
    </row>
    <row r="39" spans="1:20" x14ac:dyDescent="0.25">
      <c r="A39" s="1"/>
      <c r="B39" s="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94"/>
      <c r="O39" s="98"/>
      <c r="P39" s="101"/>
      <c r="Q39" s="17"/>
      <c r="R39" s="114"/>
      <c r="S39" s="17"/>
      <c r="T39" s="17"/>
    </row>
    <row r="40" spans="1:20" x14ac:dyDescent="0.25">
      <c r="A40" s="1"/>
      <c r="B40" s="1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94"/>
      <c r="O40" s="98"/>
      <c r="P40" s="101"/>
      <c r="Q40" s="17"/>
      <c r="R40" s="114"/>
      <c r="S40" s="17"/>
      <c r="T40" s="17"/>
    </row>
    <row r="41" spans="1:20" x14ac:dyDescent="0.25">
      <c r="A41" s="1"/>
      <c r="B41" s="1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94"/>
      <c r="O41" s="98"/>
      <c r="P41" s="101"/>
      <c r="Q41" s="17"/>
      <c r="R41" s="114"/>
      <c r="S41" s="17"/>
      <c r="T41" s="17"/>
    </row>
    <row r="42" spans="1:20" x14ac:dyDescent="0.25">
      <c r="O42" s="99"/>
      <c r="P42" s="103"/>
      <c r="R42" s="113"/>
    </row>
    <row r="43" spans="1:20" x14ac:dyDescent="0.25">
      <c r="O43" s="99"/>
      <c r="P43" s="103"/>
      <c r="R43" s="113"/>
    </row>
    <row r="44" spans="1:20" x14ac:dyDescent="0.25">
      <c r="O44" s="99"/>
      <c r="P44" s="103"/>
      <c r="R44" s="113"/>
    </row>
    <row r="45" spans="1:20" x14ac:dyDescent="0.25">
      <c r="O45" s="99"/>
      <c r="P45" s="103"/>
      <c r="R45" s="113"/>
    </row>
    <row r="46" spans="1:20" x14ac:dyDescent="0.25">
      <c r="O46" s="99"/>
      <c r="P46" s="103"/>
      <c r="R46" s="113"/>
    </row>
    <row r="47" spans="1:20" x14ac:dyDescent="0.25">
      <c r="O47" s="99"/>
      <c r="P47" s="103"/>
      <c r="R47" s="113"/>
    </row>
    <row r="48" spans="1:20" x14ac:dyDescent="0.25">
      <c r="O48" s="99"/>
      <c r="P48" s="103"/>
      <c r="R48" s="113"/>
    </row>
    <row r="49" spans="15:18" x14ac:dyDescent="0.25">
      <c r="O49" s="99"/>
      <c r="P49" s="103"/>
      <c r="R49" s="113"/>
    </row>
    <row r="50" spans="15:18" x14ac:dyDescent="0.25">
      <c r="O50" s="99"/>
      <c r="P50" s="103"/>
      <c r="R50" s="113"/>
    </row>
    <row r="51" spans="15:18" x14ac:dyDescent="0.25">
      <c r="O51" s="99"/>
      <c r="P51" s="103"/>
      <c r="R51" s="113"/>
    </row>
    <row r="52" spans="15:18" x14ac:dyDescent="0.25">
      <c r="O52" s="99"/>
      <c r="P52" s="103"/>
      <c r="R52" s="113"/>
    </row>
    <row r="53" spans="15:18" x14ac:dyDescent="0.25">
      <c r="O53" s="99"/>
      <c r="P53" s="103"/>
      <c r="R53" s="113"/>
    </row>
    <row r="54" spans="15:18" x14ac:dyDescent="0.25">
      <c r="O54" s="99"/>
      <c r="P54" s="103"/>
      <c r="R54" s="113"/>
    </row>
    <row r="55" spans="15:18" x14ac:dyDescent="0.25">
      <c r="O55" s="99"/>
      <c r="P55" s="103"/>
      <c r="R55" s="113"/>
    </row>
    <row r="56" spans="15:18" x14ac:dyDescent="0.25">
      <c r="O56" s="99"/>
      <c r="P56" s="103"/>
      <c r="R56" s="113"/>
    </row>
    <row r="57" spans="15:18" x14ac:dyDescent="0.25">
      <c r="O57" s="99"/>
      <c r="P57" s="103"/>
      <c r="R57" s="113"/>
    </row>
    <row r="58" spans="15:18" x14ac:dyDescent="0.25">
      <c r="O58" s="99"/>
      <c r="P58" s="103"/>
      <c r="R58" s="113"/>
    </row>
    <row r="59" spans="15:18" x14ac:dyDescent="0.25">
      <c r="O59" s="99"/>
      <c r="P59" s="103"/>
    </row>
    <row r="60" spans="15:18" x14ac:dyDescent="0.25">
      <c r="O60" s="99"/>
      <c r="P60" s="103"/>
    </row>
    <row r="61" spans="15:18" x14ac:dyDescent="0.25">
      <c r="O61" s="99"/>
      <c r="P61" s="103"/>
    </row>
    <row r="62" spans="15:18" x14ac:dyDescent="0.25">
      <c r="O62" s="99"/>
      <c r="P62" s="103"/>
    </row>
    <row r="63" spans="15:18" x14ac:dyDescent="0.25">
      <c r="O63" s="99"/>
      <c r="P63" s="103"/>
    </row>
    <row r="64" spans="15:18" x14ac:dyDescent="0.25">
      <c r="O64" s="99"/>
      <c r="P64" s="103"/>
    </row>
    <row r="65" spans="15:16" x14ac:dyDescent="0.25">
      <c r="O65" s="99"/>
      <c r="P65" s="103"/>
    </row>
    <row r="66" spans="15:16" x14ac:dyDescent="0.25">
      <c r="O66" s="99"/>
      <c r="P66" s="103"/>
    </row>
    <row r="67" spans="15:16" x14ac:dyDescent="0.25">
      <c r="O67" s="99"/>
      <c r="P67" s="103"/>
    </row>
    <row r="68" spans="15:16" x14ac:dyDescent="0.25">
      <c r="O68" s="99"/>
    </row>
    <row r="69" spans="15:16" x14ac:dyDescent="0.25">
      <c r="O69" s="99"/>
    </row>
    <row r="70" spans="15:16" x14ac:dyDescent="0.25">
      <c r="O70" s="99"/>
    </row>
    <row r="71" spans="15:16" x14ac:dyDescent="0.25">
      <c r="O71" s="99"/>
    </row>
    <row r="72" spans="15:16" x14ac:dyDescent="0.25">
      <c r="O72" s="99"/>
    </row>
    <row r="73" spans="15:16" x14ac:dyDescent="0.25">
      <c r="O73" s="99"/>
    </row>
    <row r="74" spans="15:16" x14ac:dyDescent="0.25">
      <c r="O74" s="99"/>
    </row>
    <row r="75" spans="15:16" x14ac:dyDescent="0.25">
      <c r="O75" s="99"/>
    </row>
    <row r="76" spans="15:16" x14ac:dyDescent="0.25">
      <c r="O76" s="99"/>
    </row>
    <row r="77" spans="15:16" x14ac:dyDescent="0.25">
      <c r="O77" s="99"/>
    </row>
    <row r="78" spans="15:16" x14ac:dyDescent="0.25">
      <c r="O78" s="99"/>
    </row>
    <row r="79" spans="15:16" x14ac:dyDescent="0.25">
      <c r="O79" s="99"/>
    </row>
    <row r="80" spans="15:16" x14ac:dyDescent="0.25">
      <c r="O80" s="99"/>
    </row>
    <row r="81" spans="15:15" x14ac:dyDescent="0.25">
      <c r="O81" s="99"/>
    </row>
    <row r="82" spans="15:15" x14ac:dyDescent="0.25">
      <c r="O82" s="99"/>
    </row>
    <row r="83" spans="15:15" x14ac:dyDescent="0.25">
      <c r="O83" s="99"/>
    </row>
    <row r="84" spans="15:15" x14ac:dyDescent="0.25">
      <c r="O84" s="99"/>
    </row>
    <row r="85" spans="15:15" x14ac:dyDescent="0.25">
      <c r="O85" s="99"/>
    </row>
    <row r="86" spans="15:15" x14ac:dyDescent="0.25">
      <c r="O86" s="99"/>
    </row>
    <row r="87" spans="15:15" x14ac:dyDescent="0.25">
      <c r="O87" s="99"/>
    </row>
    <row r="88" spans="15:15" x14ac:dyDescent="0.25">
      <c r="O88" s="99"/>
    </row>
    <row r="89" spans="15:15" x14ac:dyDescent="0.25">
      <c r="O89" s="99"/>
    </row>
    <row r="90" spans="15:15" x14ac:dyDescent="0.25">
      <c r="O90" s="99"/>
    </row>
    <row r="91" spans="15:15" x14ac:dyDescent="0.25">
      <c r="O91" s="99"/>
    </row>
    <row r="92" spans="15:15" x14ac:dyDescent="0.25">
      <c r="O92" s="99"/>
    </row>
    <row r="93" spans="15:15" x14ac:dyDescent="0.25">
      <c r="O93" s="99"/>
    </row>
    <row r="94" spans="15:15" x14ac:dyDescent="0.25">
      <c r="O94" s="99"/>
    </row>
    <row r="95" spans="15:15" x14ac:dyDescent="0.25">
      <c r="O95" s="99"/>
    </row>
    <row r="96" spans="15:15" x14ac:dyDescent="0.25">
      <c r="O96" s="99"/>
    </row>
    <row r="97" spans="15:15" x14ac:dyDescent="0.25">
      <c r="O97" s="99"/>
    </row>
    <row r="98" spans="15:15" x14ac:dyDescent="0.25">
      <c r="O98" s="99"/>
    </row>
    <row r="99" spans="15:15" x14ac:dyDescent="0.25">
      <c r="O99" s="99"/>
    </row>
    <row r="100" spans="15:15" x14ac:dyDescent="0.25">
      <c r="O100" s="99"/>
    </row>
    <row r="101" spans="15:15" x14ac:dyDescent="0.25">
      <c r="O101" s="99"/>
    </row>
    <row r="102" spans="15:15" x14ac:dyDescent="0.25">
      <c r="O102" s="99"/>
    </row>
    <row r="103" spans="15:15" x14ac:dyDescent="0.25">
      <c r="O103" s="99"/>
    </row>
    <row r="104" spans="15:15" x14ac:dyDescent="0.25">
      <c r="O104" s="99"/>
    </row>
    <row r="105" spans="15:15" x14ac:dyDescent="0.25">
      <c r="O105" s="99"/>
    </row>
    <row r="106" spans="15:15" x14ac:dyDescent="0.25">
      <c r="O106" s="99"/>
    </row>
    <row r="107" spans="15:15" x14ac:dyDescent="0.25">
      <c r="O107" s="99"/>
    </row>
    <row r="108" spans="15:15" x14ac:dyDescent="0.25">
      <c r="O108" s="99"/>
    </row>
    <row r="109" spans="15:15" x14ac:dyDescent="0.25">
      <c r="O109" s="99"/>
    </row>
    <row r="110" spans="15:15" x14ac:dyDescent="0.25">
      <c r="O110" s="99"/>
    </row>
    <row r="111" spans="15:15" x14ac:dyDescent="0.25">
      <c r="O111" s="99"/>
    </row>
    <row r="112" spans="15:15" x14ac:dyDescent="0.25">
      <c r="O112" s="99"/>
    </row>
    <row r="113" spans="15:15" x14ac:dyDescent="0.25">
      <c r="O113" s="99"/>
    </row>
    <row r="114" spans="15:15" x14ac:dyDescent="0.25">
      <c r="O114" s="99"/>
    </row>
    <row r="115" spans="15:15" x14ac:dyDescent="0.25">
      <c r="O115" s="99"/>
    </row>
    <row r="116" spans="15:15" x14ac:dyDescent="0.25">
      <c r="O116" s="99"/>
    </row>
    <row r="117" spans="15:15" x14ac:dyDescent="0.25">
      <c r="O117" s="99"/>
    </row>
    <row r="118" spans="15:15" x14ac:dyDescent="0.25">
      <c r="O118" s="99"/>
    </row>
    <row r="119" spans="15:15" x14ac:dyDescent="0.25">
      <c r="O119" s="99"/>
    </row>
    <row r="120" spans="15:15" x14ac:dyDescent="0.25">
      <c r="O120" s="99"/>
    </row>
    <row r="121" spans="15:15" x14ac:dyDescent="0.25">
      <c r="O121" s="99"/>
    </row>
    <row r="122" spans="15:15" x14ac:dyDescent="0.25">
      <c r="O122" s="99"/>
    </row>
    <row r="123" spans="15:15" x14ac:dyDescent="0.25">
      <c r="O123" s="99"/>
    </row>
    <row r="124" spans="15:15" x14ac:dyDescent="0.25">
      <c r="O124" s="99"/>
    </row>
    <row r="125" spans="15:15" x14ac:dyDescent="0.25">
      <c r="O125" s="99"/>
    </row>
    <row r="126" spans="15:15" x14ac:dyDescent="0.25">
      <c r="O126" s="99"/>
    </row>
    <row r="127" spans="15:15" x14ac:dyDescent="0.25">
      <c r="O127" s="99"/>
    </row>
    <row r="128" spans="15:15" x14ac:dyDescent="0.25">
      <c r="O128" s="99"/>
    </row>
    <row r="129" spans="15:15" x14ac:dyDescent="0.25">
      <c r="O129" s="99"/>
    </row>
    <row r="130" spans="15:15" x14ac:dyDescent="0.25">
      <c r="O130" s="99"/>
    </row>
    <row r="131" spans="15:15" x14ac:dyDescent="0.25">
      <c r="O131" s="99"/>
    </row>
    <row r="132" spans="15:15" x14ac:dyDescent="0.25">
      <c r="O132" s="99"/>
    </row>
    <row r="133" spans="15:15" x14ac:dyDescent="0.25">
      <c r="O133" s="99"/>
    </row>
    <row r="134" spans="15:15" x14ac:dyDescent="0.25">
      <c r="O134" s="99"/>
    </row>
    <row r="135" spans="15:15" x14ac:dyDescent="0.25">
      <c r="O135" s="99"/>
    </row>
    <row r="136" spans="15:15" x14ac:dyDescent="0.25">
      <c r="O136" s="99"/>
    </row>
    <row r="137" spans="15:15" x14ac:dyDescent="0.25">
      <c r="O137" s="99"/>
    </row>
    <row r="138" spans="15:15" x14ac:dyDescent="0.25">
      <c r="O138" s="99"/>
    </row>
    <row r="139" spans="15:15" x14ac:dyDescent="0.25">
      <c r="O139" s="99"/>
    </row>
    <row r="140" spans="15:15" x14ac:dyDescent="0.25">
      <c r="O140" s="99"/>
    </row>
  </sheetData>
  <mergeCells count="21">
    <mergeCell ref="C1:N1"/>
    <mergeCell ref="K3:K4"/>
    <mergeCell ref="J3:J4"/>
    <mergeCell ref="K6:K7"/>
    <mergeCell ref="J6:J7"/>
    <mergeCell ref="M3:P3"/>
    <mergeCell ref="M6:P6"/>
    <mergeCell ref="M5:P5"/>
    <mergeCell ref="M4:P4"/>
    <mergeCell ref="O9:P9"/>
    <mergeCell ref="O7:P7"/>
    <mergeCell ref="O8:P8"/>
    <mergeCell ref="J14:J15"/>
    <mergeCell ref="K14:K15"/>
    <mergeCell ref="J20:J21"/>
    <mergeCell ref="K20:K21"/>
    <mergeCell ref="M9:N9"/>
    <mergeCell ref="M8:N8"/>
    <mergeCell ref="M7:N7"/>
    <mergeCell ref="J17:J18"/>
    <mergeCell ref="K17:K18"/>
  </mergeCells>
  <conditionalFormatting sqref="M11:P41">
    <cfRule type="expression" dxfId="4" priority="1">
      <formula>$O11="Total:"</formula>
    </cfRule>
    <cfRule type="expression" dxfId="3" priority="2">
      <formula>$O11="Subtotal:"</formula>
    </cfRule>
    <cfRule type="expression" dxfId="2" priority="3">
      <formula>$B$6=ROW()</formula>
    </cfRule>
    <cfRule type="expression" dxfId="1" priority="4">
      <formula>$M1&lt;&gt;""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ucts"/>
  <dimension ref="A1:AE356"/>
  <sheetViews>
    <sheetView topLeftCell="A37" zoomScaleNormal="100" workbookViewId="0">
      <selection activeCell="A72" sqref="A72"/>
    </sheetView>
  </sheetViews>
  <sheetFormatPr defaultRowHeight="15" x14ac:dyDescent="0.25"/>
  <cols>
    <col min="1" max="1" width="16" bestFit="1" customWidth="1"/>
    <col min="2" max="2" width="27.7109375" customWidth="1"/>
    <col min="3" max="3" width="16.140625" bestFit="1" customWidth="1"/>
    <col min="4" max="4" width="13.85546875" bestFit="1" customWidth="1"/>
    <col min="5" max="5" width="18" bestFit="1" customWidth="1"/>
    <col min="6" max="6" width="13.28515625" bestFit="1" customWidth="1"/>
    <col min="7" max="7" width="8.42578125" customWidth="1"/>
    <col min="8" max="8" width="10.140625" bestFit="1" customWidth="1"/>
    <col min="9" max="9" width="31.42578125" bestFit="1" customWidth="1"/>
    <col min="10" max="10" width="20.7109375" customWidth="1"/>
    <col min="11" max="11" width="13" customWidth="1"/>
    <col min="12" max="12" width="20.85546875" bestFit="1" customWidth="1"/>
    <col min="13" max="13" width="15" customWidth="1"/>
    <col min="14" max="22" width="3" customWidth="1"/>
    <col min="23" max="23" width="11.140625" bestFit="1" customWidth="1"/>
    <col min="24" max="24" width="21.7109375" bestFit="1" customWidth="1"/>
    <col min="25" max="25" width="10.28515625" bestFit="1" customWidth="1"/>
    <col min="26" max="26" width="9.28515625" bestFit="1" customWidth="1"/>
    <col min="27" max="27" width="16.42578125" bestFit="1" customWidth="1"/>
    <col min="28" max="28" width="13.140625" bestFit="1" customWidth="1"/>
    <col min="29" max="29" width="6.140625" bestFit="1" customWidth="1"/>
    <col min="30" max="30" width="7.28515625" bestFit="1" customWidth="1"/>
    <col min="31" max="31" width="25.5703125" bestFit="1" customWidth="1"/>
  </cols>
  <sheetData>
    <row r="1" spans="1:31" ht="18.75" x14ac:dyDescent="0.3">
      <c r="A1" s="89" t="s">
        <v>297</v>
      </c>
      <c r="B1" s="90"/>
      <c r="C1" s="90"/>
      <c r="D1" s="90"/>
      <c r="E1" s="90"/>
      <c r="F1" s="90"/>
      <c r="G1" s="90"/>
      <c r="H1" s="90"/>
      <c r="I1" s="91"/>
      <c r="K1" s="39" t="s">
        <v>183</v>
      </c>
      <c r="L1" s="39" t="s">
        <v>257</v>
      </c>
      <c r="M1" s="39" t="s">
        <v>183</v>
      </c>
      <c r="W1" s="92" t="s">
        <v>182</v>
      </c>
      <c r="X1" s="93"/>
      <c r="Y1" s="93"/>
      <c r="Z1" s="93"/>
      <c r="AA1" s="93"/>
      <c r="AB1" s="93"/>
      <c r="AC1" s="93"/>
      <c r="AD1" s="93"/>
      <c r="AE1" s="93"/>
    </row>
    <row r="2" spans="1:31" ht="15" customHeight="1" x14ac:dyDescent="0.25">
      <c r="A2" s="41" t="s">
        <v>289</v>
      </c>
      <c r="B2" s="42" t="s">
        <v>298</v>
      </c>
      <c r="C2" s="43" t="s">
        <v>177</v>
      </c>
      <c r="D2" s="43" t="s">
        <v>174</v>
      </c>
      <c r="E2" s="42" t="s">
        <v>171</v>
      </c>
      <c r="F2" s="42" t="s">
        <v>168</v>
      </c>
      <c r="G2" s="41" t="s">
        <v>165</v>
      </c>
      <c r="H2" s="41" t="s">
        <v>162</v>
      </c>
      <c r="I2" s="41" t="s">
        <v>158</v>
      </c>
      <c r="K2" s="16" t="s">
        <v>177</v>
      </c>
      <c r="L2" s="16" t="s">
        <v>174</v>
      </c>
      <c r="M2" s="16" t="s">
        <v>174</v>
      </c>
      <c r="W2" s="41" t="s">
        <v>289</v>
      </c>
      <c r="X2" s="42" t="s">
        <v>298</v>
      </c>
      <c r="Y2" s="43" t="s">
        <v>177</v>
      </c>
      <c r="Z2" s="43" t="s">
        <v>174</v>
      </c>
      <c r="AA2" s="42" t="s">
        <v>171</v>
      </c>
      <c r="AB2" s="42" t="s">
        <v>168</v>
      </c>
      <c r="AC2" s="41" t="s">
        <v>165</v>
      </c>
      <c r="AD2" s="41" t="s">
        <v>162</v>
      </c>
      <c r="AE2" s="41" t="s">
        <v>158</v>
      </c>
    </row>
    <row r="3" spans="1:31" ht="45" x14ac:dyDescent="0.25">
      <c r="A3" s="12" t="s">
        <v>181</v>
      </c>
      <c r="B3" s="11" t="s">
        <v>300</v>
      </c>
      <c r="C3" s="36" t="s">
        <v>82</v>
      </c>
      <c r="D3" s="36" t="s">
        <v>156</v>
      </c>
      <c r="E3" s="36" t="s">
        <v>100</v>
      </c>
      <c r="F3" s="36" t="s">
        <v>99</v>
      </c>
      <c r="G3" s="10" t="s">
        <v>137</v>
      </c>
      <c r="H3" s="9">
        <v>14</v>
      </c>
      <c r="I3" s="8" t="s">
        <v>180</v>
      </c>
      <c r="K3" s="40" t="s">
        <v>82</v>
      </c>
      <c r="L3" s="36" t="s">
        <v>156</v>
      </c>
      <c r="M3" s="40" t="s">
        <v>338</v>
      </c>
      <c r="T3" s="15"/>
      <c r="U3" s="15"/>
      <c r="V3" s="15"/>
      <c r="W3" s="12" t="s">
        <v>63</v>
      </c>
      <c r="X3" s="11" t="s">
        <v>215</v>
      </c>
      <c r="Y3" s="36" t="s">
        <v>15</v>
      </c>
      <c r="Z3" s="36" t="s">
        <v>338</v>
      </c>
      <c r="AA3" s="36" t="s">
        <v>58</v>
      </c>
      <c r="AB3" s="36" t="s">
        <v>57</v>
      </c>
      <c r="AC3" s="10" t="s">
        <v>2</v>
      </c>
      <c r="AD3" s="9">
        <v>8.06</v>
      </c>
      <c r="AE3" s="8" t="s">
        <v>62</v>
      </c>
    </row>
    <row r="4" spans="1:31" ht="15.75" customHeight="1" x14ac:dyDescent="0.25">
      <c r="A4" s="12" t="s">
        <v>179</v>
      </c>
      <c r="B4" s="11" t="s">
        <v>301</v>
      </c>
      <c r="C4" s="36" t="s">
        <v>82</v>
      </c>
      <c r="D4" s="36" t="s">
        <v>156</v>
      </c>
      <c r="E4" s="36" t="s">
        <v>155</v>
      </c>
      <c r="F4" s="36" t="s">
        <v>29</v>
      </c>
      <c r="G4" s="10" t="s">
        <v>2</v>
      </c>
      <c r="H4" s="9">
        <v>8.0499999999999989</v>
      </c>
      <c r="I4" s="8" t="s">
        <v>178</v>
      </c>
      <c r="L4" s="36" t="s">
        <v>258</v>
      </c>
      <c r="W4" s="12" t="s">
        <v>61</v>
      </c>
      <c r="X4" s="11" t="s">
        <v>216</v>
      </c>
      <c r="Y4" s="36" t="s">
        <v>15</v>
      </c>
      <c r="Z4" s="36" t="s">
        <v>338</v>
      </c>
      <c r="AA4" s="36" t="s">
        <v>58</v>
      </c>
      <c r="AB4" s="36" t="s">
        <v>57</v>
      </c>
      <c r="AC4" s="10" t="s">
        <v>2</v>
      </c>
      <c r="AD4" s="9">
        <v>40.29</v>
      </c>
      <c r="AE4" s="8" t="s">
        <v>60</v>
      </c>
    </row>
    <row r="5" spans="1:31" ht="15.75" customHeight="1" x14ac:dyDescent="0.25">
      <c r="A5" s="12" t="s">
        <v>176</v>
      </c>
      <c r="B5" s="11" t="s">
        <v>184</v>
      </c>
      <c r="C5" s="36" t="s">
        <v>82</v>
      </c>
      <c r="D5" s="36" t="s">
        <v>156</v>
      </c>
      <c r="E5" s="36" t="s">
        <v>92</v>
      </c>
      <c r="F5" s="36" t="s">
        <v>144</v>
      </c>
      <c r="G5" s="10" t="s">
        <v>2</v>
      </c>
      <c r="H5" s="9">
        <v>22.810000000000002</v>
      </c>
      <c r="I5" s="8" t="s">
        <v>175</v>
      </c>
      <c r="L5" s="36" t="s">
        <v>141</v>
      </c>
      <c r="W5" s="12" t="s">
        <v>59</v>
      </c>
      <c r="X5" s="11" t="s">
        <v>217</v>
      </c>
      <c r="Y5" s="36" t="s">
        <v>15</v>
      </c>
      <c r="Z5" s="36" t="s">
        <v>338</v>
      </c>
      <c r="AA5" s="36" t="s">
        <v>58</v>
      </c>
      <c r="AB5" s="36" t="s">
        <v>57</v>
      </c>
      <c r="AC5" s="10" t="s">
        <v>2</v>
      </c>
      <c r="AD5" s="9">
        <v>30.770000000000003</v>
      </c>
      <c r="AE5" s="8" t="s">
        <v>56</v>
      </c>
    </row>
    <row r="6" spans="1:31" ht="15.75" customHeight="1" x14ac:dyDescent="0.25">
      <c r="A6" s="12" t="s">
        <v>173</v>
      </c>
      <c r="B6" s="11" t="s">
        <v>235</v>
      </c>
      <c r="C6" s="36" t="s">
        <v>82</v>
      </c>
      <c r="D6" s="36" t="s">
        <v>156</v>
      </c>
      <c r="E6" s="36" t="s">
        <v>92</v>
      </c>
      <c r="F6" s="36" t="s">
        <v>91</v>
      </c>
      <c r="G6" s="10" t="s">
        <v>2</v>
      </c>
      <c r="H6" s="9">
        <v>3.67</v>
      </c>
      <c r="I6" s="8" t="s">
        <v>172</v>
      </c>
      <c r="L6" s="36" t="s">
        <v>132</v>
      </c>
      <c r="W6" s="12"/>
      <c r="X6" s="11"/>
      <c r="Y6" s="36"/>
      <c r="Z6" s="36"/>
      <c r="AA6" s="36"/>
      <c r="AB6" s="36"/>
      <c r="AC6" s="10"/>
      <c r="AD6" s="9"/>
      <c r="AE6" s="8"/>
    </row>
    <row r="7" spans="1:31" ht="15.75" customHeight="1" x14ac:dyDescent="0.25">
      <c r="A7" s="12" t="s">
        <v>170</v>
      </c>
      <c r="B7" s="11" t="s">
        <v>185</v>
      </c>
      <c r="C7" s="36" t="s">
        <v>82</v>
      </c>
      <c r="D7" s="36" t="s">
        <v>156</v>
      </c>
      <c r="E7" s="36" t="s">
        <v>92</v>
      </c>
      <c r="F7" s="36" t="s">
        <v>91</v>
      </c>
      <c r="G7" s="10" t="s">
        <v>2</v>
      </c>
      <c r="H7" s="9">
        <v>3.67</v>
      </c>
      <c r="I7" s="8" t="s">
        <v>169</v>
      </c>
      <c r="L7" s="36" t="s">
        <v>81</v>
      </c>
      <c r="W7" s="12"/>
      <c r="X7" s="11"/>
      <c r="Y7" s="36"/>
      <c r="Z7" s="36"/>
      <c r="AA7" s="36"/>
      <c r="AB7" s="36"/>
      <c r="AC7" s="10"/>
      <c r="AD7" s="9"/>
      <c r="AE7" s="8"/>
    </row>
    <row r="8" spans="1:31" ht="15.75" customHeight="1" x14ac:dyDescent="0.25">
      <c r="A8" s="12" t="s">
        <v>167</v>
      </c>
      <c r="B8" s="11" t="s">
        <v>186</v>
      </c>
      <c r="C8" s="36" t="s">
        <v>82</v>
      </c>
      <c r="D8" s="36" t="s">
        <v>156</v>
      </c>
      <c r="E8" s="36" t="s">
        <v>92</v>
      </c>
      <c r="F8" s="36" t="s">
        <v>91</v>
      </c>
      <c r="G8" s="10" t="s">
        <v>2</v>
      </c>
      <c r="H8" s="9">
        <v>3.48</v>
      </c>
      <c r="I8" s="8" t="s">
        <v>166</v>
      </c>
      <c r="L8" s="36"/>
      <c r="W8" s="12"/>
      <c r="X8" s="11"/>
      <c r="Y8" s="36"/>
      <c r="Z8" s="36"/>
      <c r="AA8" s="36"/>
      <c r="AB8" s="36"/>
      <c r="AC8" s="10"/>
      <c r="AD8" s="9"/>
      <c r="AE8" s="8"/>
    </row>
    <row r="9" spans="1:31" ht="15.75" customHeight="1" x14ac:dyDescent="0.25">
      <c r="A9" s="12" t="s">
        <v>164</v>
      </c>
      <c r="B9" s="11" t="s">
        <v>187</v>
      </c>
      <c r="C9" s="36" t="s">
        <v>82</v>
      </c>
      <c r="D9" s="36" t="s">
        <v>156</v>
      </c>
      <c r="E9" s="36" t="s">
        <v>92</v>
      </c>
      <c r="F9" s="36" t="s">
        <v>91</v>
      </c>
      <c r="G9" s="10" t="s">
        <v>2</v>
      </c>
      <c r="H9" s="9">
        <v>3.42</v>
      </c>
      <c r="I9" s="8" t="s">
        <v>163</v>
      </c>
      <c r="L9" s="36"/>
      <c r="W9" s="12"/>
      <c r="X9" s="11"/>
      <c r="Y9" s="36"/>
      <c r="Z9" s="36"/>
      <c r="AA9" s="36"/>
      <c r="AB9" s="36"/>
      <c r="AC9" s="10"/>
      <c r="AD9" s="9"/>
      <c r="AE9" s="8"/>
    </row>
    <row r="10" spans="1:31" ht="15.75" customHeight="1" x14ac:dyDescent="0.25">
      <c r="A10" s="12" t="s">
        <v>161</v>
      </c>
      <c r="B10" s="11" t="s">
        <v>236</v>
      </c>
      <c r="C10" s="36" t="s">
        <v>82</v>
      </c>
      <c r="D10" s="36" t="s">
        <v>156</v>
      </c>
      <c r="E10" s="36" t="s">
        <v>160</v>
      </c>
      <c r="F10" s="36" t="s">
        <v>99</v>
      </c>
      <c r="G10" s="10" t="s">
        <v>2</v>
      </c>
      <c r="H10" s="9">
        <v>1.7</v>
      </c>
      <c r="I10" s="8" t="s">
        <v>159</v>
      </c>
      <c r="L10" s="36"/>
      <c r="W10" s="12"/>
      <c r="X10" s="11"/>
      <c r="Y10" s="36"/>
      <c r="Z10" s="36"/>
      <c r="AA10" s="36"/>
      <c r="AB10" s="36"/>
      <c r="AC10" s="10"/>
      <c r="AD10" s="9"/>
      <c r="AE10" s="8"/>
    </row>
    <row r="11" spans="1:31" ht="15.75" customHeight="1" x14ac:dyDescent="0.25">
      <c r="A11" s="12" t="s">
        <v>157</v>
      </c>
      <c r="B11" s="14" t="s">
        <v>188</v>
      </c>
      <c r="C11" s="36" t="s">
        <v>82</v>
      </c>
      <c r="D11" s="36" t="s">
        <v>156</v>
      </c>
      <c r="E11" s="36" t="s">
        <v>155</v>
      </c>
      <c r="F11" s="36" t="s">
        <v>26</v>
      </c>
      <c r="G11" s="10" t="s">
        <v>137</v>
      </c>
      <c r="H11" s="9">
        <v>24.62</v>
      </c>
      <c r="I11" s="8" t="s">
        <v>154</v>
      </c>
      <c r="L11" s="36"/>
      <c r="W11" s="12"/>
      <c r="X11" s="11"/>
      <c r="Y11" s="36"/>
      <c r="Z11" s="36"/>
      <c r="AA11" s="36"/>
      <c r="AB11" s="36"/>
      <c r="AC11" s="10"/>
      <c r="AD11" s="9"/>
      <c r="AE11" s="8"/>
    </row>
    <row r="12" spans="1:31" ht="15.75" customHeight="1" x14ac:dyDescent="0.25">
      <c r="A12" s="12" t="s">
        <v>153</v>
      </c>
      <c r="B12" s="11" t="s">
        <v>189</v>
      </c>
      <c r="C12" s="36" t="s">
        <v>82</v>
      </c>
      <c r="D12" s="36" t="s">
        <v>258</v>
      </c>
      <c r="E12" s="36" t="s">
        <v>152</v>
      </c>
      <c r="F12" s="36" t="s">
        <v>151</v>
      </c>
      <c r="G12" s="10" t="s">
        <v>2</v>
      </c>
      <c r="H12" s="9">
        <v>11.48</v>
      </c>
      <c r="I12" s="13" t="s">
        <v>150</v>
      </c>
      <c r="L12" s="36"/>
      <c r="W12" s="12"/>
      <c r="X12" s="11"/>
      <c r="Y12" s="36"/>
      <c r="Z12" s="36"/>
      <c r="AA12" s="36"/>
      <c r="AB12" s="36"/>
      <c r="AC12" s="10"/>
      <c r="AD12" s="9"/>
      <c r="AE12" s="8"/>
    </row>
    <row r="13" spans="1:31" ht="15.75" customHeight="1" x14ac:dyDescent="0.25">
      <c r="A13" s="12" t="s">
        <v>149</v>
      </c>
      <c r="B13" s="11" t="s">
        <v>190</v>
      </c>
      <c r="C13" s="36" t="s">
        <v>82</v>
      </c>
      <c r="D13" s="36" t="s">
        <v>141</v>
      </c>
      <c r="E13" s="36" t="s">
        <v>92</v>
      </c>
      <c r="F13" s="36" t="s">
        <v>91</v>
      </c>
      <c r="G13" s="10" t="s">
        <v>2</v>
      </c>
      <c r="H13" s="9">
        <v>5.1499999999999995</v>
      </c>
      <c r="I13" s="8" t="s">
        <v>148</v>
      </c>
      <c r="L13" s="36"/>
      <c r="W13" s="12"/>
      <c r="X13" s="11"/>
      <c r="Y13" s="36"/>
      <c r="Z13" s="36"/>
      <c r="AA13" s="36"/>
      <c r="AB13" s="36"/>
      <c r="AC13" s="10"/>
      <c r="AD13" s="9"/>
      <c r="AE13" s="8"/>
    </row>
    <row r="14" spans="1:31" ht="15.75" customHeight="1" x14ac:dyDescent="0.25">
      <c r="A14" s="12" t="s">
        <v>147</v>
      </c>
      <c r="B14" s="11" t="s">
        <v>191</v>
      </c>
      <c r="C14" s="36" t="s">
        <v>82</v>
      </c>
      <c r="D14" s="36" t="s">
        <v>141</v>
      </c>
      <c r="E14" s="36" t="s">
        <v>92</v>
      </c>
      <c r="F14" s="36" t="s">
        <v>91</v>
      </c>
      <c r="G14" s="10" t="s">
        <v>2</v>
      </c>
      <c r="H14" s="9">
        <v>6.18</v>
      </c>
      <c r="I14" s="8" t="s">
        <v>146</v>
      </c>
      <c r="W14" s="112"/>
      <c r="X14" s="11"/>
      <c r="Y14" s="36"/>
      <c r="Z14" s="36"/>
      <c r="AA14" s="36"/>
      <c r="AB14" s="36"/>
      <c r="AC14" s="10"/>
      <c r="AD14" s="9"/>
      <c r="AE14" s="8"/>
    </row>
    <row r="15" spans="1:31" ht="15.75" customHeight="1" x14ac:dyDescent="0.25">
      <c r="A15" s="12" t="s">
        <v>145</v>
      </c>
      <c r="B15" s="11" t="s">
        <v>192</v>
      </c>
      <c r="C15" s="36" t="s">
        <v>82</v>
      </c>
      <c r="D15" s="36" t="s">
        <v>141</v>
      </c>
      <c r="E15" s="36" t="s">
        <v>92</v>
      </c>
      <c r="F15" s="36" t="s">
        <v>144</v>
      </c>
      <c r="G15" s="10" t="s">
        <v>2</v>
      </c>
      <c r="H15" s="9">
        <v>3.67</v>
      </c>
      <c r="I15" s="8" t="s">
        <v>143</v>
      </c>
      <c r="W15" s="112"/>
      <c r="X15" s="11"/>
      <c r="Y15" s="36"/>
      <c r="Z15" s="36"/>
      <c r="AA15" s="36"/>
      <c r="AB15" s="36"/>
      <c r="AC15" s="10"/>
      <c r="AD15" s="9"/>
      <c r="AE15" s="8"/>
    </row>
    <row r="16" spans="1:31" ht="15.75" customHeight="1" x14ac:dyDescent="0.25">
      <c r="A16" s="12" t="s">
        <v>142</v>
      </c>
      <c r="B16" s="11" t="s">
        <v>311</v>
      </c>
      <c r="C16" s="36" t="s">
        <v>82</v>
      </c>
      <c r="D16" s="36" t="s">
        <v>141</v>
      </c>
      <c r="E16" s="36" t="s">
        <v>92</v>
      </c>
      <c r="F16" s="36" t="s">
        <v>91</v>
      </c>
      <c r="G16" s="10" t="s">
        <v>2</v>
      </c>
      <c r="H16" s="9">
        <v>1.76</v>
      </c>
      <c r="I16" s="8" t="s">
        <v>140</v>
      </c>
      <c r="W16" s="112"/>
      <c r="X16" s="11"/>
      <c r="Y16" s="36"/>
      <c r="Z16" s="36"/>
      <c r="AA16" s="36"/>
      <c r="AB16" s="36"/>
      <c r="AC16" s="10"/>
      <c r="AD16" s="9"/>
      <c r="AE16" s="8"/>
    </row>
    <row r="17" spans="1:31" ht="15.75" customHeight="1" x14ac:dyDescent="0.25">
      <c r="A17" s="12" t="s">
        <v>139</v>
      </c>
      <c r="B17" s="11" t="s">
        <v>193</v>
      </c>
      <c r="C17" s="36" t="s">
        <v>82</v>
      </c>
      <c r="D17" s="36" t="s">
        <v>132</v>
      </c>
      <c r="E17" s="36" t="s">
        <v>138</v>
      </c>
      <c r="F17" s="36" t="s">
        <v>91</v>
      </c>
      <c r="G17" s="10" t="s">
        <v>137</v>
      </c>
      <c r="H17" s="9">
        <v>15.299999999999999</v>
      </c>
      <c r="I17" s="8" t="s">
        <v>136</v>
      </c>
      <c r="W17" s="121"/>
      <c r="X17" s="122"/>
      <c r="Y17" s="123"/>
      <c r="Z17" s="123"/>
      <c r="AA17" s="123"/>
      <c r="AB17" s="123"/>
      <c r="AC17" s="124"/>
      <c r="AD17" s="125"/>
      <c r="AE17" s="126"/>
    </row>
    <row r="18" spans="1:31" ht="15.75" customHeight="1" x14ac:dyDescent="0.25">
      <c r="A18" s="12" t="s">
        <v>135</v>
      </c>
      <c r="B18" s="11" t="s">
        <v>194</v>
      </c>
      <c r="C18" s="36" t="s">
        <v>82</v>
      </c>
      <c r="D18" s="36" t="s">
        <v>132</v>
      </c>
      <c r="E18" s="36" t="s">
        <v>92</v>
      </c>
      <c r="F18" s="36" t="s">
        <v>91</v>
      </c>
      <c r="G18" s="10" t="s">
        <v>2</v>
      </c>
      <c r="H18" s="9">
        <v>1.84</v>
      </c>
      <c r="I18" s="8" t="s">
        <v>134</v>
      </c>
      <c r="W18" s="127"/>
      <c r="X18" s="11"/>
      <c r="Y18" s="128"/>
      <c r="Z18" s="128"/>
      <c r="AA18" s="128"/>
      <c r="AB18" s="128"/>
      <c r="AC18" s="129"/>
      <c r="AD18" s="130"/>
      <c r="AE18" s="131"/>
    </row>
    <row r="19" spans="1:31" ht="15.75" customHeight="1" x14ac:dyDescent="0.25">
      <c r="A19" s="12" t="s">
        <v>133</v>
      </c>
      <c r="B19" s="11" t="s">
        <v>195</v>
      </c>
      <c r="C19" s="36" t="s">
        <v>82</v>
      </c>
      <c r="D19" s="36" t="s">
        <v>132</v>
      </c>
      <c r="E19" s="36" t="s">
        <v>92</v>
      </c>
      <c r="F19" s="36" t="s">
        <v>91</v>
      </c>
      <c r="G19" s="10" t="s">
        <v>2</v>
      </c>
      <c r="H19" s="9">
        <v>1.84</v>
      </c>
      <c r="I19" s="8" t="s">
        <v>131</v>
      </c>
      <c r="W19" s="127"/>
      <c r="X19" s="11"/>
      <c r="Y19" s="128"/>
      <c r="Z19" s="128"/>
      <c r="AA19" s="128"/>
      <c r="AB19" s="128"/>
      <c r="AC19" s="129"/>
      <c r="AD19" s="130"/>
      <c r="AE19" s="131"/>
    </row>
    <row r="20" spans="1:31" ht="15.75" customHeight="1" x14ac:dyDescent="0.25">
      <c r="A20" s="12" t="s">
        <v>130</v>
      </c>
      <c r="B20" s="11" t="s">
        <v>196</v>
      </c>
      <c r="C20" s="36" t="s">
        <v>82</v>
      </c>
      <c r="D20" s="36" t="s">
        <v>81</v>
      </c>
      <c r="E20" s="36" t="s">
        <v>100</v>
      </c>
      <c r="F20" s="36" t="s">
        <v>99</v>
      </c>
      <c r="G20" s="10" t="s">
        <v>2</v>
      </c>
      <c r="H20" s="9">
        <v>15.23</v>
      </c>
      <c r="I20" s="8" t="s">
        <v>129</v>
      </c>
      <c r="W20" s="133"/>
      <c r="X20" s="6"/>
      <c r="Y20" s="134"/>
      <c r="Z20" s="134"/>
      <c r="AA20" s="134"/>
      <c r="AB20" s="134"/>
      <c r="AC20" s="135"/>
      <c r="AD20" s="136"/>
      <c r="AE20" s="137"/>
    </row>
    <row r="21" spans="1:31" ht="15.75" customHeight="1" x14ac:dyDescent="0.25">
      <c r="A21" s="12" t="s">
        <v>128</v>
      </c>
      <c r="B21" s="11" t="s">
        <v>197</v>
      </c>
      <c r="C21" s="36" t="s">
        <v>82</v>
      </c>
      <c r="D21" s="36" t="s">
        <v>81</v>
      </c>
      <c r="E21" s="36" t="s">
        <v>100</v>
      </c>
      <c r="F21" s="36" t="s">
        <v>127</v>
      </c>
      <c r="G21" s="10" t="s">
        <v>74</v>
      </c>
      <c r="H21" s="9">
        <v>10.51</v>
      </c>
      <c r="I21" s="8" t="s">
        <v>126</v>
      </c>
      <c r="W21" s="12"/>
      <c r="X21" s="11"/>
      <c r="Y21" s="36"/>
      <c r="Z21" s="36"/>
      <c r="AA21" s="36"/>
      <c r="AB21" s="36"/>
      <c r="AC21" s="10"/>
      <c r="AD21" s="9"/>
      <c r="AE21" s="8"/>
    </row>
    <row r="22" spans="1:31" ht="15.75" customHeight="1" x14ac:dyDescent="0.25">
      <c r="A22" s="12" t="s">
        <v>125</v>
      </c>
      <c r="B22" s="11" t="s">
        <v>198</v>
      </c>
      <c r="C22" s="36" t="s">
        <v>82</v>
      </c>
      <c r="D22" s="36" t="s">
        <v>81</v>
      </c>
      <c r="E22" s="36" t="s">
        <v>124</v>
      </c>
      <c r="F22" s="36" t="s">
        <v>85</v>
      </c>
      <c r="G22" s="10" t="s">
        <v>2</v>
      </c>
      <c r="H22" s="9">
        <v>8.86</v>
      </c>
      <c r="I22" s="8" t="s">
        <v>123</v>
      </c>
      <c r="W22" s="12"/>
      <c r="X22" s="11"/>
      <c r="Y22" s="36"/>
      <c r="Z22" s="36"/>
      <c r="AA22" s="36"/>
      <c r="AB22" s="36"/>
      <c r="AC22" s="10"/>
      <c r="AD22" s="9"/>
      <c r="AE22" s="8"/>
    </row>
    <row r="23" spans="1:31" ht="15.75" customHeight="1" x14ac:dyDescent="0.25">
      <c r="A23" s="12" t="s">
        <v>122</v>
      </c>
      <c r="B23" s="11" t="s">
        <v>199</v>
      </c>
      <c r="C23" s="36" t="s">
        <v>82</v>
      </c>
      <c r="D23" s="36" t="s">
        <v>81</v>
      </c>
      <c r="E23" s="36" t="s">
        <v>92</v>
      </c>
      <c r="F23" s="36" t="s">
        <v>26</v>
      </c>
      <c r="G23" s="10" t="s">
        <v>2</v>
      </c>
      <c r="H23" s="9">
        <v>2.5099999999999998</v>
      </c>
      <c r="I23" s="8" t="s">
        <v>121</v>
      </c>
      <c r="W23" s="12"/>
      <c r="X23" s="11"/>
      <c r="Y23" s="10"/>
      <c r="Z23" s="10"/>
      <c r="AA23" s="10"/>
      <c r="AB23" s="10"/>
      <c r="AC23" s="10"/>
      <c r="AD23" s="9"/>
      <c r="AE23" s="8"/>
    </row>
    <row r="24" spans="1:31" ht="15.75" customHeight="1" x14ac:dyDescent="0.25">
      <c r="A24" s="12" t="s">
        <v>120</v>
      </c>
      <c r="B24" s="11" t="s">
        <v>310</v>
      </c>
      <c r="C24" s="36" t="s">
        <v>82</v>
      </c>
      <c r="D24" s="36" t="s">
        <v>81</v>
      </c>
      <c r="E24" s="36" t="s">
        <v>92</v>
      </c>
      <c r="F24" s="36" t="s">
        <v>26</v>
      </c>
      <c r="G24" s="10" t="s">
        <v>2</v>
      </c>
      <c r="H24" s="9">
        <v>2.7699999999999996</v>
      </c>
      <c r="I24" s="8" t="s">
        <v>119</v>
      </c>
      <c r="W24" s="12"/>
      <c r="X24" s="11"/>
      <c r="Y24" s="10"/>
      <c r="Z24" s="10"/>
      <c r="AA24" s="10"/>
      <c r="AB24" s="10"/>
      <c r="AC24" s="10"/>
      <c r="AD24" s="9"/>
      <c r="AE24" s="8"/>
    </row>
    <row r="25" spans="1:31" ht="15.75" customHeight="1" x14ac:dyDescent="0.25">
      <c r="A25" s="12" t="s">
        <v>118</v>
      </c>
      <c r="B25" s="11" t="s">
        <v>309</v>
      </c>
      <c r="C25" s="36" t="s">
        <v>82</v>
      </c>
      <c r="D25" s="36" t="s">
        <v>81</v>
      </c>
      <c r="E25" s="36" t="s">
        <v>92</v>
      </c>
      <c r="F25" s="36" t="s">
        <v>91</v>
      </c>
      <c r="G25" s="10" t="s">
        <v>2</v>
      </c>
      <c r="H25" s="9">
        <v>3.96</v>
      </c>
      <c r="I25" s="8" t="s">
        <v>117</v>
      </c>
      <c r="W25" s="12"/>
      <c r="X25" s="11"/>
      <c r="Y25" s="10"/>
      <c r="Z25" s="10"/>
      <c r="AA25" s="10"/>
      <c r="AB25" s="10"/>
      <c r="AC25" s="10"/>
      <c r="AD25" s="9"/>
      <c r="AE25" s="8"/>
    </row>
    <row r="26" spans="1:31" ht="15.75" customHeight="1" x14ac:dyDescent="0.25">
      <c r="A26" s="12" t="s">
        <v>116</v>
      </c>
      <c r="B26" s="11" t="s">
        <v>308</v>
      </c>
      <c r="C26" s="36" t="s">
        <v>82</v>
      </c>
      <c r="D26" s="36" t="s">
        <v>81</v>
      </c>
      <c r="E26" s="36" t="s">
        <v>92</v>
      </c>
      <c r="F26" s="36" t="s">
        <v>91</v>
      </c>
      <c r="G26" s="10" t="s">
        <v>2</v>
      </c>
      <c r="H26" s="9">
        <v>3.96</v>
      </c>
      <c r="I26" s="8" t="s">
        <v>115</v>
      </c>
      <c r="W26" s="7"/>
      <c r="X26" s="6"/>
      <c r="Y26" s="5"/>
      <c r="Z26" s="5"/>
      <c r="AA26" s="5"/>
      <c r="AB26" s="5"/>
      <c r="AC26" s="5"/>
      <c r="AD26" s="4"/>
      <c r="AE26" s="3"/>
    </row>
    <row r="27" spans="1:31" ht="15.75" customHeight="1" x14ac:dyDescent="0.25">
      <c r="A27" s="12" t="s">
        <v>114</v>
      </c>
      <c r="B27" s="11" t="s">
        <v>200</v>
      </c>
      <c r="C27" s="36" t="s">
        <v>82</v>
      </c>
      <c r="D27" s="36" t="s">
        <v>81</v>
      </c>
      <c r="E27" s="36" t="s">
        <v>92</v>
      </c>
      <c r="F27" s="36" t="s">
        <v>105</v>
      </c>
      <c r="G27" s="10" t="s">
        <v>2</v>
      </c>
      <c r="H27" s="9">
        <v>2.59</v>
      </c>
      <c r="I27" s="8" t="s">
        <v>113</v>
      </c>
      <c r="W27" s="12"/>
      <c r="X27" s="11"/>
      <c r="Y27" s="10"/>
      <c r="Z27" s="10"/>
      <c r="AA27" s="10"/>
      <c r="AB27" s="10"/>
      <c r="AC27" s="10"/>
      <c r="AD27" s="9"/>
      <c r="AE27" s="8"/>
    </row>
    <row r="28" spans="1:31" ht="15.75" customHeight="1" x14ac:dyDescent="0.25">
      <c r="A28" s="12" t="s">
        <v>112</v>
      </c>
      <c r="B28" s="11" t="s">
        <v>201</v>
      </c>
      <c r="C28" s="36" t="s">
        <v>82</v>
      </c>
      <c r="D28" s="36" t="s">
        <v>81</v>
      </c>
      <c r="E28" s="36" t="s">
        <v>92</v>
      </c>
      <c r="F28" s="36" t="s">
        <v>105</v>
      </c>
      <c r="G28" s="10" t="s">
        <v>2</v>
      </c>
      <c r="H28" s="9">
        <v>2.59</v>
      </c>
      <c r="I28" s="8" t="s">
        <v>111</v>
      </c>
      <c r="W28" s="12"/>
      <c r="X28" s="11"/>
      <c r="Y28" s="10"/>
      <c r="Z28" s="10"/>
      <c r="AA28" s="10"/>
      <c r="AB28" s="10"/>
      <c r="AC28" s="10"/>
      <c r="AD28" s="9"/>
      <c r="AE28" s="8"/>
    </row>
    <row r="29" spans="1:31" ht="15.75" customHeight="1" x14ac:dyDescent="0.25">
      <c r="A29" s="12" t="s">
        <v>110</v>
      </c>
      <c r="B29" s="11" t="s">
        <v>202</v>
      </c>
      <c r="C29" s="36" t="s">
        <v>82</v>
      </c>
      <c r="D29" s="36" t="s">
        <v>81</v>
      </c>
      <c r="E29" s="36" t="s">
        <v>92</v>
      </c>
      <c r="F29" s="36" t="s">
        <v>91</v>
      </c>
      <c r="G29" s="10" t="s">
        <v>2</v>
      </c>
      <c r="H29" s="9">
        <v>21.470000000000002</v>
      </c>
      <c r="I29" s="8" t="s">
        <v>109</v>
      </c>
      <c r="W29" s="12"/>
      <c r="X29" s="11"/>
      <c r="Y29" s="10"/>
      <c r="Z29" s="10"/>
      <c r="AA29" s="10"/>
      <c r="AB29" s="10"/>
      <c r="AC29" s="10"/>
      <c r="AD29" s="9"/>
      <c r="AE29" s="8"/>
    </row>
    <row r="30" spans="1:31" ht="15.75" customHeight="1" x14ac:dyDescent="0.25">
      <c r="A30" s="12" t="s">
        <v>108</v>
      </c>
      <c r="B30" s="11" t="s">
        <v>203</v>
      </c>
      <c r="C30" s="36" t="s">
        <v>82</v>
      </c>
      <c r="D30" s="36" t="s">
        <v>81</v>
      </c>
      <c r="E30" s="36" t="s">
        <v>92</v>
      </c>
      <c r="F30" s="36" t="s">
        <v>91</v>
      </c>
      <c r="G30" s="10" t="s">
        <v>2</v>
      </c>
      <c r="H30" s="9">
        <v>5.59</v>
      </c>
      <c r="I30" s="8" t="s">
        <v>107</v>
      </c>
      <c r="W30" s="12"/>
      <c r="X30" s="11"/>
      <c r="Y30" s="10"/>
      <c r="Z30" s="10"/>
      <c r="AA30" s="10"/>
      <c r="AB30" s="10"/>
      <c r="AC30" s="10"/>
      <c r="AD30" s="9"/>
      <c r="AE30" s="8"/>
    </row>
    <row r="31" spans="1:31" ht="15.75" customHeight="1" x14ac:dyDescent="0.25">
      <c r="A31" s="12" t="s">
        <v>106</v>
      </c>
      <c r="B31" s="11" t="s">
        <v>204</v>
      </c>
      <c r="C31" s="36" t="s">
        <v>82</v>
      </c>
      <c r="D31" s="36" t="s">
        <v>81</v>
      </c>
      <c r="E31" s="36" t="s">
        <v>92</v>
      </c>
      <c r="F31" s="36" t="s">
        <v>105</v>
      </c>
      <c r="G31" s="10" t="s">
        <v>2</v>
      </c>
      <c r="H31" s="9">
        <v>2.5099999999999998</v>
      </c>
      <c r="I31" s="8" t="s">
        <v>104</v>
      </c>
      <c r="W31" s="7"/>
      <c r="X31" s="6"/>
      <c r="Y31" s="5"/>
      <c r="Z31" s="5"/>
      <c r="AA31" s="5"/>
      <c r="AB31" s="5"/>
      <c r="AC31" s="5"/>
      <c r="AD31" s="4"/>
      <c r="AE31" s="3"/>
    </row>
    <row r="32" spans="1:31" ht="15.75" customHeight="1" x14ac:dyDescent="0.25">
      <c r="A32" s="12" t="s">
        <v>103</v>
      </c>
      <c r="B32" s="11" t="s">
        <v>302</v>
      </c>
      <c r="C32" s="36" t="s">
        <v>82</v>
      </c>
      <c r="D32" s="36" t="s">
        <v>81</v>
      </c>
      <c r="E32" s="36" t="s">
        <v>92</v>
      </c>
      <c r="F32" s="36" t="s">
        <v>91</v>
      </c>
      <c r="G32" s="10" t="s">
        <v>2</v>
      </c>
      <c r="H32" s="9">
        <v>5.33</v>
      </c>
      <c r="I32" s="8" t="s">
        <v>102</v>
      </c>
      <c r="W32" s="12"/>
      <c r="X32" s="11"/>
      <c r="Y32" s="10"/>
      <c r="Z32" s="10"/>
      <c r="AA32" s="10"/>
      <c r="AB32" s="10"/>
      <c r="AC32" s="10"/>
      <c r="AD32" s="9"/>
      <c r="AE32" s="8"/>
    </row>
    <row r="33" spans="1:31" ht="15.75" customHeight="1" x14ac:dyDescent="0.25">
      <c r="A33" s="12" t="s">
        <v>101</v>
      </c>
      <c r="B33" s="11" t="s">
        <v>205</v>
      </c>
      <c r="C33" s="36" t="s">
        <v>82</v>
      </c>
      <c r="D33" s="36" t="s">
        <v>81</v>
      </c>
      <c r="E33" s="36" t="s">
        <v>100</v>
      </c>
      <c r="F33" s="36" t="s">
        <v>99</v>
      </c>
      <c r="G33" s="10" t="s">
        <v>2</v>
      </c>
      <c r="H33" s="9">
        <v>2.42</v>
      </c>
      <c r="I33" s="8" t="s">
        <v>98</v>
      </c>
      <c r="W33" s="12"/>
      <c r="X33" s="11"/>
      <c r="Y33" s="10"/>
      <c r="Z33" s="10"/>
      <c r="AA33" s="10"/>
      <c r="AB33" s="10"/>
      <c r="AC33" s="10"/>
      <c r="AD33" s="9"/>
      <c r="AE33" s="8"/>
    </row>
    <row r="34" spans="1:31" ht="15.75" customHeight="1" x14ac:dyDescent="0.25">
      <c r="A34" s="12" t="s">
        <v>97</v>
      </c>
      <c r="B34" s="11" t="s">
        <v>206</v>
      </c>
      <c r="C34" s="36" t="s">
        <v>82</v>
      </c>
      <c r="D34" s="36" t="s">
        <v>81</v>
      </c>
      <c r="E34" s="36" t="s">
        <v>92</v>
      </c>
      <c r="F34" s="36" t="s">
        <v>91</v>
      </c>
      <c r="G34" s="10" t="s">
        <v>2</v>
      </c>
      <c r="H34" s="9">
        <v>3.0599999999999996</v>
      </c>
      <c r="I34" s="8" t="s">
        <v>96</v>
      </c>
      <c r="W34" s="12"/>
      <c r="X34" s="11"/>
      <c r="Y34" s="10"/>
      <c r="Z34" s="10"/>
      <c r="AA34" s="10"/>
      <c r="AB34" s="10"/>
      <c r="AC34" s="10"/>
      <c r="AD34" s="9"/>
      <c r="AE34" s="8"/>
    </row>
    <row r="35" spans="1:31" ht="15.75" customHeight="1" x14ac:dyDescent="0.25">
      <c r="A35" s="12" t="s">
        <v>95</v>
      </c>
      <c r="B35" s="11" t="s">
        <v>207</v>
      </c>
      <c r="C35" s="36" t="s">
        <v>82</v>
      </c>
      <c r="D35" s="36" t="s">
        <v>81</v>
      </c>
      <c r="E35" s="36" t="s">
        <v>92</v>
      </c>
      <c r="F35" s="36" t="s">
        <v>91</v>
      </c>
      <c r="G35" s="10" t="s">
        <v>2</v>
      </c>
      <c r="H35" s="9">
        <v>3.0599999999999996</v>
      </c>
      <c r="I35" s="8" t="s">
        <v>94</v>
      </c>
      <c r="W35" s="12"/>
      <c r="X35" s="11"/>
      <c r="Y35" s="10"/>
      <c r="Z35" s="10"/>
      <c r="AA35" s="10"/>
      <c r="AB35" s="10"/>
      <c r="AC35" s="10"/>
      <c r="AD35" s="9"/>
      <c r="AE35" s="8"/>
    </row>
    <row r="36" spans="1:31" ht="15.75" customHeight="1" x14ac:dyDescent="0.25">
      <c r="A36" s="12" t="s">
        <v>93</v>
      </c>
      <c r="B36" s="11" t="s">
        <v>208</v>
      </c>
      <c r="C36" s="36" t="s">
        <v>82</v>
      </c>
      <c r="D36" s="36" t="s">
        <v>81</v>
      </c>
      <c r="E36" s="36" t="s">
        <v>92</v>
      </c>
      <c r="F36" s="36" t="s">
        <v>91</v>
      </c>
      <c r="G36" s="10" t="s">
        <v>2</v>
      </c>
      <c r="H36" s="9">
        <v>4.25</v>
      </c>
      <c r="I36" s="8" t="s">
        <v>90</v>
      </c>
      <c r="W36" s="12"/>
      <c r="X36" s="11"/>
      <c r="Y36" s="10"/>
      <c r="Z36" s="10"/>
      <c r="AA36" s="10"/>
      <c r="AB36" s="10"/>
      <c r="AC36" s="10"/>
      <c r="AD36" s="9"/>
      <c r="AE36" s="8"/>
    </row>
    <row r="37" spans="1:31" ht="15.75" customHeight="1" x14ac:dyDescent="0.25">
      <c r="A37" s="12" t="s">
        <v>89</v>
      </c>
      <c r="B37" s="11" t="s">
        <v>209</v>
      </c>
      <c r="C37" s="36" t="s">
        <v>82</v>
      </c>
      <c r="D37" s="36" t="s">
        <v>81</v>
      </c>
      <c r="E37" s="36" t="s">
        <v>88</v>
      </c>
      <c r="F37" s="36" t="s">
        <v>57</v>
      </c>
      <c r="G37" s="10" t="s">
        <v>2</v>
      </c>
      <c r="H37" s="9">
        <v>10.87</v>
      </c>
      <c r="I37" s="8" t="s">
        <v>87</v>
      </c>
      <c r="W37" s="12"/>
      <c r="X37" s="11"/>
      <c r="Y37" s="10"/>
      <c r="Z37" s="10"/>
      <c r="AA37" s="10"/>
      <c r="AB37" s="10"/>
      <c r="AC37" s="10"/>
      <c r="AD37" s="9"/>
      <c r="AE37" s="8"/>
    </row>
    <row r="38" spans="1:31" ht="15.75" customHeight="1" x14ac:dyDescent="0.25">
      <c r="A38" s="12" t="s">
        <v>86</v>
      </c>
      <c r="B38" s="11" t="s">
        <v>303</v>
      </c>
      <c r="C38" s="36" t="s">
        <v>82</v>
      </c>
      <c r="D38" s="36" t="s">
        <v>81</v>
      </c>
      <c r="E38" s="36" t="s">
        <v>80</v>
      </c>
      <c r="F38" s="36" t="s">
        <v>85</v>
      </c>
      <c r="G38" s="10" t="s">
        <v>2</v>
      </c>
      <c r="H38" s="9">
        <v>7.16</v>
      </c>
      <c r="I38" s="8" t="s">
        <v>84</v>
      </c>
      <c r="W38" s="12"/>
      <c r="X38" s="11"/>
      <c r="Y38" s="10"/>
      <c r="Z38" s="10"/>
      <c r="AA38" s="10"/>
      <c r="AB38" s="10"/>
      <c r="AC38" s="10"/>
      <c r="AD38" s="9"/>
      <c r="AE38" s="8"/>
    </row>
    <row r="39" spans="1:31" ht="15.75" customHeight="1" x14ac:dyDescent="0.25">
      <c r="A39" s="12" t="s">
        <v>83</v>
      </c>
      <c r="B39" s="11" t="s">
        <v>304</v>
      </c>
      <c r="C39" s="36" t="s">
        <v>82</v>
      </c>
      <c r="D39" s="36" t="s">
        <v>81</v>
      </c>
      <c r="E39" s="36" t="s">
        <v>80</v>
      </c>
      <c r="F39" s="36" t="s">
        <v>29</v>
      </c>
      <c r="G39" s="10" t="s">
        <v>2</v>
      </c>
      <c r="H39" s="9">
        <v>14.95</v>
      </c>
      <c r="I39" s="8" t="s">
        <v>79</v>
      </c>
      <c r="W39" s="12"/>
      <c r="X39" s="11"/>
      <c r="Y39" s="10"/>
      <c r="Z39" s="10"/>
      <c r="AA39" s="10"/>
      <c r="AB39" s="10"/>
      <c r="AC39" s="10"/>
      <c r="AD39" s="9"/>
      <c r="AE39" s="8"/>
    </row>
    <row r="40" spans="1:31" ht="15.75" customHeight="1" x14ac:dyDescent="0.25">
      <c r="A40" s="12" t="s">
        <v>78</v>
      </c>
      <c r="B40" s="11" t="s">
        <v>210</v>
      </c>
      <c r="C40" s="36" t="s">
        <v>256</v>
      </c>
      <c r="D40" s="36" t="s">
        <v>75</v>
      </c>
      <c r="E40" s="36" t="s">
        <v>58</v>
      </c>
      <c r="F40" s="36" t="s">
        <v>57</v>
      </c>
      <c r="G40" s="10" t="s">
        <v>74</v>
      </c>
      <c r="H40" s="9">
        <v>17.89</v>
      </c>
      <c r="I40" s="8" t="s">
        <v>77</v>
      </c>
      <c r="W40" s="12"/>
      <c r="X40" s="11"/>
      <c r="Y40" s="10"/>
      <c r="Z40" s="10"/>
      <c r="AA40" s="10"/>
      <c r="AB40" s="10"/>
      <c r="AC40" s="10"/>
      <c r="AD40" s="9"/>
      <c r="AE40" s="8"/>
    </row>
    <row r="41" spans="1:31" ht="15.75" customHeight="1" x14ac:dyDescent="0.25">
      <c r="A41" s="12" t="s">
        <v>76</v>
      </c>
      <c r="B41" s="11" t="s">
        <v>211</v>
      </c>
      <c r="C41" s="36" t="s">
        <v>256</v>
      </c>
      <c r="D41" s="36" t="s">
        <v>75</v>
      </c>
      <c r="E41" s="36" t="s">
        <v>58</v>
      </c>
      <c r="F41" s="36" t="s">
        <v>57</v>
      </c>
      <c r="G41" s="10" t="s">
        <v>74</v>
      </c>
      <c r="H41" s="9">
        <v>21.98</v>
      </c>
      <c r="I41" s="8" t="s">
        <v>73</v>
      </c>
      <c r="W41" s="12"/>
      <c r="X41" s="11"/>
      <c r="Y41" s="10"/>
      <c r="Z41" s="10"/>
      <c r="AA41" s="10"/>
      <c r="AB41" s="10"/>
      <c r="AC41" s="10"/>
      <c r="AD41" s="9"/>
      <c r="AE41" s="8"/>
    </row>
    <row r="42" spans="1:31" ht="15.75" customHeight="1" x14ac:dyDescent="0.25">
      <c r="A42" s="12" t="s">
        <v>72</v>
      </c>
      <c r="B42" s="11" t="s">
        <v>212</v>
      </c>
      <c r="C42" s="36" t="s">
        <v>239</v>
      </c>
      <c r="D42" s="36" t="s">
        <v>66</v>
      </c>
      <c r="E42" s="36" t="s">
        <v>69</v>
      </c>
      <c r="F42" s="36" t="s">
        <v>29</v>
      </c>
      <c r="G42" s="10" t="s">
        <v>2</v>
      </c>
      <c r="H42" s="9">
        <v>10.99</v>
      </c>
      <c r="I42" s="8" t="s">
        <v>71</v>
      </c>
      <c r="W42" s="12"/>
      <c r="X42" s="11"/>
      <c r="Y42" s="10"/>
      <c r="Z42" s="10"/>
      <c r="AA42" s="10"/>
      <c r="AB42" s="10"/>
      <c r="AC42" s="10"/>
      <c r="AD42" s="9"/>
      <c r="AE42" s="8"/>
    </row>
    <row r="43" spans="1:31" ht="15.75" customHeight="1" x14ac:dyDescent="0.25">
      <c r="A43" s="12" t="s">
        <v>70</v>
      </c>
      <c r="B43" s="11" t="s">
        <v>213</v>
      </c>
      <c r="C43" s="36" t="s">
        <v>239</v>
      </c>
      <c r="D43" s="36" t="s">
        <v>66</v>
      </c>
      <c r="E43" s="36" t="s">
        <v>69</v>
      </c>
      <c r="F43" s="36" t="s">
        <v>29</v>
      </c>
      <c r="G43" s="10" t="s">
        <v>2</v>
      </c>
      <c r="H43" s="9">
        <v>10.99</v>
      </c>
      <c r="I43" s="8" t="s">
        <v>68</v>
      </c>
      <c r="W43" s="12"/>
      <c r="X43" s="11"/>
      <c r="Y43" s="10"/>
      <c r="Z43" s="10"/>
      <c r="AA43" s="10"/>
      <c r="AB43" s="10"/>
      <c r="AC43" s="10"/>
      <c r="AD43" s="9"/>
      <c r="AE43" s="8"/>
    </row>
    <row r="44" spans="1:31" ht="15.75" customHeight="1" x14ac:dyDescent="0.25">
      <c r="A44" s="12" t="s">
        <v>67</v>
      </c>
      <c r="B44" s="11" t="s">
        <v>214</v>
      </c>
      <c r="C44" s="36" t="s">
        <v>239</v>
      </c>
      <c r="D44" s="36" t="s">
        <v>66</v>
      </c>
      <c r="E44" s="36" t="s">
        <v>65</v>
      </c>
      <c r="F44" s="36" t="s">
        <v>29</v>
      </c>
      <c r="G44" s="10" t="s">
        <v>2</v>
      </c>
      <c r="H44" s="9">
        <v>6.89</v>
      </c>
      <c r="I44" s="8" t="s">
        <v>64</v>
      </c>
      <c r="W44" s="12"/>
      <c r="X44" s="11"/>
      <c r="Y44" s="10"/>
      <c r="Z44" s="10"/>
      <c r="AA44" s="10"/>
      <c r="AB44" s="10"/>
      <c r="AC44" s="10"/>
      <c r="AD44" s="9"/>
      <c r="AE44" s="8"/>
    </row>
    <row r="45" spans="1:31" ht="15.75" customHeight="1" x14ac:dyDescent="0.25">
      <c r="A45" s="12" t="s">
        <v>63</v>
      </c>
      <c r="B45" s="11" t="s">
        <v>215</v>
      </c>
      <c r="C45" s="36" t="s">
        <v>15</v>
      </c>
      <c r="D45" s="36" t="s">
        <v>338</v>
      </c>
      <c r="E45" s="36" t="s">
        <v>58</v>
      </c>
      <c r="F45" s="36" t="s">
        <v>57</v>
      </c>
      <c r="G45" s="10" t="s">
        <v>2</v>
      </c>
      <c r="H45" s="9">
        <v>8.06</v>
      </c>
      <c r="I45" s="8" t="s">
        <v>62</v>
      </c>
      <c r="W45" s="12"/>
      <c r="X45" s="11"/>
      <c r="Y45" s="10"/>
      <c r="Z45" s="10"/>
      <c r="AA45" s="10"/>
      <c r="AB45" s="10"/>
      <c r="AC45" s="10"/>
      <c r="AD45" s="9"/>
      <c r="AE45" s="8"/>
    </row>
    <row r="46" spans="1:31" ht="15.75" customHeight="1" x14ac:dyDescent="0.25">
      <c r="A46" s="12" t="s">
        <v>61</v>
      </c>
      <c r="B46" s="11" t="s">
        <v>216</v>
      </c>
      <c r="C46" s="36" t="s">
        <v>15</v>
      </c>
      <c r="D46" s="36" t="s">
        <v>338</v>
      </c>
      <c r="E46" s="36" t="s">
        <v>58</v>
      </c>
      <c r="F46" s="36" t="s">
        <v>57</v>
      </c>
      <c r="G46" s="10" t="s">
        <v>2</v>
      </c>
      <c r="H46" s="9">
        <v>40.29</v>
      </c>
      <c r="I46" s="8" t="s">
        <v>60</v>
      </c>
      <c r="W46" s="12"/>
      <c r="X46" s="11"/>
      <c r="Y46" s="10"/>
      <c r="Z46" s="10"/>
      <c r="AA46" s="10"/>
      <c r="AB46" s="10"/>
      <c r="AC46" s="10"/>
      <c r="AD46" s="9"/>
      <c r="AE46" s="8"/>
    </row>
    <row r="47" spans="1:31" ht="15.75" customHeight="1" x14ac:dyDescent="0.25">
      <c r="A47" s="12" t="s">
        <v>59</v>
      </c>
      <c r="B47" s="11" t="s">
        <v>217</v>
      </c>
      <c r="C47" s="36" t="s">
        <v>15</v>
      </c>
      <c r="D47" s="36" t="s">
        <v>338</v>
      </c>
      <c r="E47" s="36" t="s">
        <v>58</v>
      </c>
      <c r="F47" s="36" t="s">
        <v>57</v>
      </c>
      <c r="G47" s="10" t="s">
        <v>2</v>
      </c>
      <c r="H47" s="9">
        <v>30.770000000000003</v>
      </c>
      <c r="I47" s="8" t="s">
        <v>56</v>
      </c>
      <c r="W47" s="12"/>
      <c r="X47" s="11"/>
      <c r="Y47" s="10"/>
      <c r="Z47" s="10"/>
      <c r="AA47" s="10"/>
      <c r="AB47" s="10"/>
      <c r="AC47" s="10"/>
      <c r="AD47" s="9"/>
      <c r="AE47" s="8"/>
    </row>
    <row r="48" spans="1:31" ht="15.75" customHeight="1" x14ac:dyDescent="0.25">
      <c r="A48" s="12" t="s">
        <v>55</v>
      </c>
      <c r="B48" s="11" t="s">
        <v>218</v>
      </c>
      <c r="C48" s="36" t="s">
        <v>15</v>
      </c>
      <c r="D48" s="36" t="s">
        <v>48</v>
      </c>
      <c r="E48" s="36" t="s">
        <v>14</v>
      </c>
      <c r="F48" s="36" t="s">
        <v>13</v>
      </c>
      <c r="G48" s="10" t="s">
        <v>2</v>
      </c>
      <c r="H48" s="9">
        <v>6.6499999999999995</v>
      </c>
      <c r="I48" s="8" t="s">
        <v>54</v>
      </c>
      <c r="W48" s="12"/>
      <c r="X48" s="11"/>
      <c r="Y48" s="10"/>
      <c r="Z48" s="10"/>
      <c r="AA48" s="10"/>
      <c r="AB48" s="10"/>
      <c r="AC48" s="10"/>
      <c r="AD48" s="9"/>
      <c r="AE48" s="8"/>
    </row>
    <row r="49" spans="1:31" ht="15.75" customHeight="1" x14ac:dyDescent="0.25">
      <c r="A49" s="12" t="s">
        <v>53</v>
      </c>
      <c r="B49" s="11" t="s">
        <v>219</v>
      </c>
      <c r="C49" s="36" t="s">
        <v>15</v>
      </c>
      <c r="D49" s="36" t="s">
        <v>48</v>
      </c>
      <c r="E49" s="36" t="s">
        <v>14</v>
      </c>
      <c r="F49" s="36" t="s">
        <v>13</v>
      </c>
      <c r="G49" s="10" t="s">
        <v>2</v>
      </c>
      <c r="H49" s="9">
        <v>4.16</v>
      </c>
      <c r="I49" s="8" t="s">
        <v>52</v>
      </c>
      <c r="W49" s="12"/>
      <c r="X49" s="11"/>
      <c r="Y49" s="10"/>
      <c r="Z49" s="10"/>
      <c r="AA49" s="10"/>
      <c r="AB49" s="10"/>
      <c r="AC49" s="10"/>
      <c r="AD49" s="9"/>
      <c r="AE49" s="8"/>
    </row>
    <row r="50" spans="1:31" ht="15.75" customHeight="1" x14ac:dyDescent="0.25">
      <c r="A50" s="12" t="s">
        <v>51</v>
      </c>
      <c r="B50" s="11" t="s">
        <v>220</v>
      </c>
      <c r="C50" s="36" t="s">
        <v>15</v>
      </c>
      <c r="D50" s="36" t="s">
        <v>48</v>
      </c>
      <c r="E50" s="36" t="s">
        <v>14</v>
      </c>
      <c r="F50" s="36" t="s">
        <v>13</v>
      </c>
      <c r="G50" s="10" t="s">
        <v>2</v>
      </c>
      <c r="H50" s="9">
        <v>12.56</v>
      </c>
      <c r="I50" s="8" t="s">
        <v>50</v>
      </c>
      <c r="W50" s="12"/>
      <c r="X50" s="11"/>
      <c r="Y50" s="10"/>
      <c r="Z50" s="10"/>
      <c r="AA50" s="10"/>
      <c r="AB50" s="10"/>
      <c r="AC50" s="10"/>
      <c r="AD50" s="9"/>
      <c r="AE50" s="8"/>
    </row>
    <row r="51" spans="1:31" ht="15.75" customHeight="1" x14ac:dyDescent="0.25">
      <c r="A51" s="12" t="s">
        <v>49</v>
      </c>
      <c r="B51" s="11" t="s">
        <v>221</v>
      </c>
      <c r="C51" s="36" t="s">
        <v>15</v>
      </c>
      <c r="D51" s="36" t="s">
        <v>48</v>
      </c>
      <c r="E51" s="36" t="s">
        <v>14</v>
      </c>
      <c r="F51" s="36" t="s">
        <v>13</v>
      </c>
      <c r="G51" s="10" t="s">
        <v>2</v>
      </c>
      <c r="H51" s="9">
        <v>13.11</v>
      </c>
      <c r="I51" s="8" t="s">
        <v>47</v>
      </c>
      <c r="W51" s="12"/>
      <c r="X51" s="11"/>
      <c r="Y51" s="10"/>
      <c r="Z51" s="10"/>
      <c r="AA51" s="10"/>
      <c r="AB51" s="10"/>
      <c r="AC51" s="10"/>
      <c r="AD51" s="9"/>
      <c r="AE51" s="8"/>
    </row>
    <row r="52" spans="1:31" ht="15.75" customHeight="1" x14ac:dyDescent="0.25">
      <c r="A52" s="12" t="s">
        <v>46</v>
      </c>
      <c r="B52" s="11" t="s">
        <v>222</v>
      </c>
      <c r="C52" s="36" t="s">
        <v>15</v>
      </c>
      <c r="D52" s="36" t="s">
        <v>5</v>
      </c>
      <c r="E52" s="36" t="s">
        <v>14</v>
      </c>
      <c r="F52" s="36" t="s">
        <v>13</v>
      </c>
      <c r="G52" s="10" t="s">
        <v>2</v>
      </c>
      <c r="H52" s="9">
        <v>2.1199999999999997</v>
      </c>
      <c r="I52" s="8" t="s">
        <v>45</v>
      </c>
      <c r="W52" s="12"/>
      <c r="X52" s="11"/>
      <c r="Y52" s="10"/>
      <c r="Z52" s="10"/>
      <c r="AA52" s="10"/>
      <c r="AB52" s="10"/>
      <c r="AC52" s="10"/>
      <c r="AD52" s="9"/>
      <c r="AE52" s="8"/>
    </row>
    <row r="53" spans="1:31" ht="15.75" customHeight="1" x14ac:dyDescent="0.25">
      <c r="A53" s="12" t="s">
        <v>44</v>
      </c>
      <c r="B53" s="11" t="s">
        <v>223</v>
      </c>
      <c r="C53" s="36" t="s">
        <v>15</v>
      </c>
      <c r="D53" s="36" t="s">
        <v>5</v>
      </c>
      <c r="E53" s="36" t="s">
        <v>14</v>
      </c>
      <c r="F53" s="36" t="s">
        <v>23</v>
      </c>
      <c r="G53" s="10" t="s">
        <v>2</v>
      </c>
      <c r="H53" s="9">
        <v>3.1799999999999997</v>
      </c>
      <c r="I53" s="8" t="s">
        <v>43</v>
      </c>
      <c r="W53" s="12"/>
      <c r="X53" s="11"/>
      <c r="Y53" s="10"/>
      <c r="Z53" s="10"/>
      <c r="AA53" s="10"/>
      <c r="AB53" s="10"/>
      <c r="AC53" s="10"/>
      <c r="AD53" s="9"/>
      <c r="AE53" s="8"/>
    </row>
    <row r="54" spans="1:31" ht="15.75" customHeight="1" x14ac:dyDescent="0.25">
      <c r="A54" s="12" t="s">
        <v>42</v>
      </c>
      <c r="B54" s="11" t="s">
        <v>224</v>
      </c>
      <c r="C54" s="36" t="s">
        <v>15</v>
      </c>
      <c r="D54" s="36" t="s">
        <v>5</v>
      </c>
      <c r="E54" s="36" t="s">
        <v>14</v>
      </c>
      <c r="F54" s="36" t="s">
        <v>23</v>
      </c>
      <c r="G54" s="10" t="s">
        <v>2</v>
      </c>
      <c r="H54" s="9">
        <v>0.98</v>
      </c>
      <c r="I54" s="8" t="s">
        <v>41</v>
      </c>
      <c r="W54" s="12"/>
      <c r="X54" s="11"/>
      <c r="Y54" s="10"/>
      <c r="Z54" s="10"/>
      <c r="AA54" s="10"/>
      <c r="AB54" s="10"/>
      <c r="AC54" s="10"/>
      <c r="AD54" s="9"/>
      <c r="AE54" s="8"/>
    </row>
    <row r="55" spans="1:31" ht="15.75" customHeight="1" x14ac:dyDescent="0.25">
      <c r="A55" s="12" t="s">
        <v>40</v>
      </c>
      <c r="B55" s="11" t="s">
        <v>225</v>
      </c>
      <c r="C55" s="36" t="s">
        <v>15</v>
      </c>
      <c r="D55" s="36" t="s">
        <v>5</v>
      </c>
      <c r="E55" s="36" t="s">
        <v>14</v>
      </c>
      <c r="F55" s="36" t="s">
        <v>23</v>
      </c>
      <c r="G55" s="10" t="s">
        <v>2</v>
      </c>
      <c r="H55" s="9">
        <v>8.5499999999999989</v>
      </c>
      <c r="I55" s="8" t="s">
        <v>39</v>
      </c>
      <c r="W55" s="12"/>
      <c r="X55" s="11"/>
      <c r="Y55" s="10"/>
      <c r="Z55" s="10"/>
      <c r="AA55" s="10"/>
      <c r="AB55" s="10"/>
      <c r="AC55" s="10"/>
      <c r="AD55" s="9"/>
      <c r="AE55" s="8"/>
    </row>
    <row r="56" spans="1:31" ht="15.75" customHeight="1" x14ac:dyDescent="0.25">
      <c r="A56" s="12" t="s">
        <v>38</v>
      </c>
      <c r="B56" s="11" t="s">
        <v>226</v>
      </c>
      <c r="C56" s="36" t="s">
        <v>15</v>
      </c>
      <c r="D56" s="36" t="s">
        <v>5</v>
      </c>
      <c r="E56" s="36" t="s">
        <v>14</v>
      </c>
      <c r="F56" s="36" t="s">
        <v>23</v>
      </c>
      <c r="G56" s="10" t="s">
        <v>2</v>
      </c>
      <c r="H56" s="9">
        <v>3.1799999999999997</v>
      </c>
      <c r="I56" s="8" t="s">
        <v>37</v>
      </c>
      <c r="W56" s="12"/>
      <c r="X56" s="11"/>
      <c r="Y56" s="10"/>
      <c r="Z56" s="10"/>
      <c r="AA56" s="10"/>
      <c r="AB56" s="10"/>
      <c r="AC56" s="10"/>
      <c r="AD56" s="9"/>
      <c r="AE56" s="8"/>
    </row>
    <row r="57" spans="1:31" ht="15.75" customHeight="1" x14ac:dyDescent="0.25">
      <c r="A57" s="12" t="s">
        <v>36</v>
      </c>
      <c r="B57" s="11" t="s">
        <v>227</v>
      </c>
      <c r="C57" s="36" t="s">
        <v>15</v>
      </c>
      <c r="D57" s="36" t="s">
        <v>5</v>
      </c>
      <c r="E57" s="36" t="s">
        <v>14</v>
      </c>
      <c r="F57" s="36" t="s">
        <v>23</v>
      </c>
      <c r="G57" s="10" t="s">
        <v>2</v>
      </c>
      <c r="H57" s="9">
        <v>0.98</v>
      </c>
      <c r="I57" s="8" t="s">
        <v>35</v>
      </c>
      <c r="W57" s="12"/>
      <c r="X57" s="11"/>
      <c r="Y57" s="10"/>
      <c r="Z57" s="10"/>
      <c r="AA57" s="10"/>
      <c r="AB57" s="10"/>
      <c r="AC57" s="10"/>
      <c r="AD57" s="9"/>
      <c r="AE57" s="8"/>
    </row>
    <row r="58" spans="1:31" ht="15.75" customHeight="1" x14ac:dyDescent="0.25">
      <c r="A58" s="12" t="s">
        <v>34</v>
      </c>
      <c r="B58" s="11" t="s">
        <v>228</v>
      </c>
      <c r="C58" s="36" t="s">
        <v>15</v>
      </c>
      <c r="D58" s="36" t="s">
        <v>5</v>
      </c>
      <c r="E58" s="36" t="s">
        <v>14</v>
      </c>
      <c r="F58" s="36" t="s">
        <v>13</v>
      </c>
      <c r="G58" s="10" t="s">
        <v>2</v>
      </c>
      <c r="H58" s="9">
        <v>2.59</v>
      </c>
      <c r="I58" s="8" t="s">
        <v>33</v>
      </c>
      <c r="W58" s="12"/>
      <c r="X58" s="11"/>
      <c r="Y58" s="10"/>
      <c r="Z58" s="10"/>
      <c r="AA58" s="10"/>
      <c r="AB58" s="10"/>
      <c r="AC58" s="10"/>
      <c r="AD58" s="9"/>
      <c r="AE58" s="8"/>
    </row>
    <row r="59" spans="1:31" ht="15.75" customHeight="1" x14ac:dyDescent="0.25">
      <c r="A59" s="12" t="s">
        <v>32</v>
      </c>
      <c r="B59" s="11" t="s">
        <v>306</v>
      </c>
      <c r="C59" s="36" t="s">
        <v>15</v>
      </c>
      <c r="D59" s="36" t="s">
        <v>5</v>
      </c>
      <c r="E59" s="36" t="s">
        <v>14</v>
      </c>
      <c r="F59" s="36" t="s">
        <v>13</v>
      </c>
      <c r="G59" s="10" t="s">
        <v>2</v>
      </c>
      <c r="H59" s="9">
        <v>10.93</v>
      </c>
      <c r="I59" s="8" t="s">
        <v>31</v>
      </c>
      <c r="W59" s="12"/>
      <c r="X59" s="11"/>
      <c r="Y59" s="10"/>
      <c r="Z59" s="10"/>
      <c r="AA59" s="10"/>
      <c r="AB59" s="10"/>
      <c r="AC59" s="10"/>
      <c r="AD59" s="9"/>
      <c r="AE59" s="8"/>
    </row>
    <row r="60" spans="1:31" ht="15.75" customHeight="1" x14ac:dyDescent="0.25">
      <c r="A60" s="12" t="s">
        <v>30</v>
      </c>
      <c r="B60" s="11" t="s">
        <v>307</v>
      </c>
      <c r="C60" s="36" t="s">
        <v>15</v>
      </c>
      <c r="D60" s="36" t="s">
        <v>5</v>
      </c>
      <c r="E60" s="36" t="s">
        <v>14</v>
      </c>
      <c r="F60" s="36" t="s">
        <v>29</v>
      </c>
      <c r="G60" s="10" t="s">
        <v>2</v>
      </c>
      <c r="H60" s="9">
        <v>9.4</v>
      </c>
      <c r="I60" s="8" t="s">
        <v>28</v>
      </c>
      <c r="W60" s="12"/>
      <c r="X60" s="11"/>
      <c r="Y60" s="10"/>
      <c r="Z60" s="10"/>
      <c r="AA60" s="10"/>
      <c r="AB60" s="10"/>
      <c r="AC60" s="10"/>
      <c r="AD60" s="9"/>
      <c r="AE60" s="8"/>
    </row>
    <row r="61" spans="1:31" ht="15.75" customHeight="1" x14ac:dyDescent="0.25">
      <c r="A61" s="12" t="s">
        <v>27</v>
      </c>
      <c r="B61" s="11" t="s">
        <v>229</v>
      </c>
      <c r="C61" s="36" t="s">
        <v>15</v>
      </c>
      <c r="D61" s="36" t="s">
        <v>5</v>
      </c>
      <c r="E61" s="36" t="s">
        <v>14</v>
      </c>
      <c r="F61" s="36" t="s">
        <v>26</v>
      </c>
      <c r="G61" s="10" t="s">
        <v>2</v>
      </c>
      <c r="H61" s="9">
        <v>2.4</v>
      </c>
      <c r="I61" s="8" t="s">
        <v>25</v>
      </c>
      <c r="W61" s="12"/>
      <c r="X61" s="11"/>
      <c r="Y61" s="10"/>
      <c r="Z61" s="10"/>
      <c r="AA61" s="10"/>
      <c r="AB61" s="10"/>
      <c r="AC61" s="10"/>
      <c r="AD61" s="9"/>
      <c r="AE61" s="8"/>
    </row>
    <row r="62" spans="1:31" ht="15.75" customHeight="1" x14ac:dyDescent="0.25">
      <c r="A62" s="12" t="s">
        <v>24</v>
      </c>
      <c r="B62" s="11" t="s">
        <v>305</v>
      </c>
      <c r="C62" s="36" t="s">
        <v>15</v>
      </c>
      <c r="D62" s="36" t="s">
        <v>5</v>
      </c>
      <c r="E62" s="36" t="s">
        <v>14</v>
      </c>
      <c r="F62" s="36" t="s">
        <v>23</v>
      </c>
      <c r="G62" s="10" t="s">
        <v>2</v>
      </c>
      <c r="H62" s="9">
        <v>2.11</v>
      </c>
      <c r="I62" s="8" t="s">
        <v>22</v>
      </c>
      <c r="W62" s="12"/>
      <c r="X62" s="11"/>
      <c r="Y62" s="10"/>
      <c r="Z62" s="10"/>
      <c r="AA62" s="10"/>
      <c r="AB62" s="10"/>
      <c r="AC62" s="10"/>
      <c r="AD62" s="9"/>
      <c r="AE62" s="8"/>
    </row>
    <row r="63" spans="1:31" ht="15.75" customHeight="1" x14ac:dyDescent="0.25">
      <c r="A63" s="112" t="s">
        <v>21</v>
      </c>
      <c r="B63" s="11" t="s">
        <v>230</v>
      </c>
      <c r="C63" s="36" t="s">
        <v>15</v>
      </c>
      <c r="D63" s="36" t="s">
        <v>5</v>
      </c>
      <c r="E63" s="36" t="s">
        <v>14</v>
      </c>
      <c r="F63" s="36" t="s">
        <v>20</v>
      </c>
      <c r="G63" s="10" t="s">
        <v>2</v>
      </c>
      <c r="H63" s="9">
        <v>13.19</v>
      </c>
      <c r="I63" s="8" t="s">
        <v>19</v>
      </c>
      <c r="W63" s="12"/>
      <c r="X63" s="11"/>
      <c r="Y63" s="10"/>
      <c r="Z63" s="10"/>
      <c r="AA63" s="10"/>
      <c r="AB63" s="10"/>
      <c r="AC63" s="10"/>
      <c r="AD63" s="9"/>
      <c r="AE63" s="8"/>
    </row>
    <row r="64" spans="1:31" ht="15.75" customHeight="1" x14ac:dyDescent="0.25">
      <c r="A64" s="112" t="s">
        <v>18</v>
      </c>
      <c r="B64" s="11" t="s">
        <v>231</v>
      </c>
      <c r="C64" s="36" t="s">
        <v>15</v>
      </c>
      <c r="D64" s="36" t="s">
        <v>5</v>
      </c>
      <c r="E64" s="36" t="s">
        <v>14</v>
      </c>
      <c r="F64" s="36" t="s">
        <v>13</v>
      </c>
      <c r="G64" s="10" t="s">
        <v>2</v>
      </c>
      <c r="H64" s="9">
        <v>0.6</v>
      </c>
      <c r="I64" s="8" t="s">
        <v>17</v>
      </c>
      <c r="W64" s="12"/>
      <c r="X64" s="11"/>
      <c r="Y64" s="10"/>
      <c r="Z64" s="10"/>
      <c r="AA64" s="10"/>
      <c r="AB64" s="10"/>
      <c r="AC64" s="10"/>
      <c r="AD64" s="9"/>
      <c r="AE64" s="8"/>
    </row>
    <row r="65" spans="1:31" ht="15.75" customHeight="1" x14ac:dyDescent="0.25">
      <c r="A65" s="112" t="s">
        <v>16</v>
      </c>
      <c r="B65" s="11" t="s">
        <v>232</v>
      </c>
      <c r="C65" s="36" t="s">
        <v>15</v>
      </c>
      <c r="D65" s="36" t="s">
        <v>5</v>
      </c>
      <c r="E65" s="36" t="s">
        <v>14</v>
      </c>
      <c r="F65" s="36" t="s">
        <v>13</v>
      </c>
      <c r="G65" s="10" t="s">
        <v>2</v>
      </c>
      <c r="H65" s="9">
        <v>0.79</v>
      </c>
      <c r="I65" s="8" t="s">
        <v>12</v>
      </c>
      <c r="W65" s="12"/>
      <c r="X65" s="11"/>
      <c r="Y65" s="10"/>
      <c r="Z65" s="10"/>
      <c r="AA65" s="10"/>
      <c r="AB65" s="10"/>
      <c r="AC65" s="10"/>
      <c r="AD65" s="9"/>
      <c r="AE65" s="8"/>
    </row>
    <row r="66" spans="1:31" ht="15.75" customHeight="1" x14ac:dyDescent="0.25">
      <c r="A66" s="112" t="s">
        <v>11</v>
      </c>
      <c r="B66" s="11" t="s">
        <v>233</v>
      </c>
      <c r="C66" s="36" t="s">
        <v>244</v>
      </c>
      <c r="D66" s="36" t="s">
        <v>10</v>
      </c>
      <c r="E66" s="36" t="s">
        <v>9</v>
      </c>
      <c r="F66" s="36" t="s">
        <v>8</v>
      </c>
      <c r="G66" s="10" t="s">
        <v>2</v>
      </c>
      <c r="H66" s="9">
        <v>8.74</v>
      </c>
      <c r="I66" s="8" t="s">
        <v>7</v>
      </c>
      <c r="W66" s="12"/>
      <c r="X66" s="11"/>
      <c r="Y66" s="10"/>
      <c r="Z66" s="10"/>
      <c r="AA66" s="10"/>
      <c r="AB66" s="10"/>
      <c r="AC66" s="10"/>
      <c r="AD66" s="9"/>
      <c r="AE66" s="8"/>
    </row>
    <row r="67" spans="1:31" ht="15.75" customHeight="1" x14ac:dyDescent="0.25">
      <c r="A67" s="121" t="s">
        <v>6</v>
      </c>
      <c r="B67" s="122" t="s">
        <v>234</v>
      </c>
      <c r="C67" s="123" t="s">
        <v>244</v>
      </c>
      <c r="D67" s="123" t="s">
        <v>5</v>
      </c>
      <c r="E67" s="123" t="s">
        <v>4</v>
      </c>
      <c r="F67" s="123" t="s">
        <v>3</v>
      </c>
      <c r="G67" s="124" t="s">
        <v>2</v>
      </c>
      <c r="H67" s="125">
        <v>1.78</v>
      </c>
      <c r="I67" s="126" t="s">
        <v>1</v>
      </c>
      <c r="W67" s="12"/>
      <c r="X67" s="11"/>
      <c r="Y67" s="10"/>
      <c r="Z67" s="10"/>
      <c r="AA67" s="10"/>
      <c r="AB67" s="10"/>
      <c r="AC67" s="10"/>
      <c r="AD67" s="9"/>
      <c r="AE67" s="8"/>
    </row>
    <row r="68" spans="1:31" ht="15.75" customHeight="1" x14ac:dyDescent="0.25">
      <c r="A68" s="127" t="s">
        <v>319</v>
      </c>
      <c r="B68" s="11" t="s">
        <v>322</v>
      </c>
      <c r="C68" s="128" t="s">
        <v>244</v>
      </c>
      <c r="D68" s="128" t="s">
        <v>5</v>
      </c>
      <c r="E68" s="128" t="s">
        <v>320</v>
      </c>
      <c r="F68" s="128" t="s">
        <v>13</v>
      </c>
      <c r="G68" s="129" t="s">
        <v>321</v>
      </c>
      <c r="H68" s="130">
        <v>1.49</v>
      </c>
      <c r="I68" s="131" t="s">
        <v>323</v>
      </c>
      <c r="W68" s="7"/>
      <c r="X68" s="6"/>
      <c r="Y68" s="5"/>
      <c r="Z68" s="5"/>
      <c r="AA68" s="5"/>
      <c r="AB68" s="5"/>
      <c r="AC68" s="5"/>
      <c r="AD68" s="4"/>
      <c r="AE68" s="3"/>
    </row>
    <row r="69" spans="1:31" ht="15.75" customHeight="1" x14ac:dyDescent="0.25">
      <c r="A69" s="127" t="s">
        <v>328</v>
      </c>
      <c r="B69" s="11" t="s">
        <v>327</v>
      </c>
      <c r="C69" s="128" t="s">
        <v>239</v>
      </c>
      <c r="D69" s="128" t="s">
        <v>325</v>
      </c>
      <c r="E69" s="128" t="s">
        <v>332</v>
      </c>
      <c r="F69" s="128" t="s">
        <v>326</v>
      </c>
      <c r="G69" s="129" t="s">
        <v>321</v>
      </c>
      <c r="H69" s="130">
        <v>0.89</v>
      </c>
      <c r="I69" s="132" t="s">
        <v>324</v>
      </c>
    </row>
    <row r="70" spans="1:31" ht="15.75" customHeight="1" x14ac:dyDescent="0.25">
      <c r="A70" s="127" t="s">
        <v>329</v>
      </c>
      <c r="B70" s="11" t="s">
        <v>330</v>
      </c>
      <c r="C70" s="128" t="s">
        <v>15</v>
      </c>
      <c r="D70" s="128" t="s">
        <v>5</v>
      </c>
      <c r="E70" s="128" t="s">
        <v>331</v>
      </c>
      <c r="F70" s="128" t="s">
        <v>13</v>
      </c>
      <c r="G70" s="129" t="s">
        <v>321</v>
      </c>
      <c r="H70" s="130">
        <v>0.95</v>
      </c>
      <c r="I70" s="131" t="s">
        <v>333</v>
      </c>
    </row>
    <row r="71" spans="1:31" ht="15.75" customHeight="1" x14ac:dyDescent="0.25">
      <c r="A71" s="133" t="s">
        <v>337</v>
      </c>
      <c r="B71" s="6" t="s">
        <v>335</v>
      </c>
      <c r="C71" s="134" t="s">
        <v>15</v>
      </c>
      <c r="D71" s="134" t="s">
        <v>5</v>
      </c>
      <c r="E71" s="134" t="s">
        <v>336</v>
      </c>
      <c r="F71" s="134" t="s">
        <v>13</v>
      </c>
      <c r="G71" s="135" t="s">
        <v>321</v>
      </c>
      <c r="H71" s="136">
        <v>1.89</v>
      </c>
      <c r="I71" s="137" t="s">
        <v>334</v>
      </c>
    </row>
    <row r="72" spans="1:31" ht="15.75" customHeight="1" x14ac:dyDescent="0.25">
      <c r="A72" s="113"/>
    </row>
    <row r="73" spans="1:31" ht="15.75" customHeight="1" x14ac:dyDescent="0.25">
      <c r="A73" s="113"/>
    </row>
    <row r="74" spans="1:31" ht="15.75" customHeight="1" x14ac:dyDescent="0.25"/>
    <row r="75" spans="1:31" ht="15.75" customHeight="1" x14ac:dyDescent="0.25"/>
    <row r="76" spans="1:31" ht="15.75" customHeight="1" x14ac:dyDescent="0.25"/>
    <row r="77" spans="1:31" ht="15.75" customHeight="1" x14ac:dyDescent="0.25"/>
    <row r="78" spans="1:31" ht="15.75" customHeight="1" x14ac:dyDescent="0.25"/>
    <row r="79" spans="1:31" ht="15.75" customHeight="1" x14ac:dyDescent="0.25"/>
    <row r="80" spans="1:31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spans="10:10" ht="15.75" customHeight="1" x14ac:dyDescent="0.25"/>
    <row r="274" spans="10:10" ht="15.75" customHeight="1" x14ac:dyDescent="0.25">
      <c r="J274" s="2"/>
    </row>
    <row r="275" spans="10:10" ht="15.75" customHeight="1" x14ac:dyDescent="0.25">
      <c r="J275" s="2"/>
    </row>
    <row r="276" spans="10:10" ht="15.75" customHeight="1" x14ac:dyDescent="0.25">
      <c r="J276" s="2"/>
    </row>
    <row r="277" spans="10:10" ht="15.75" customHeight="1" x14ac:dyDescent="0.25"/>
    <row r="278" spans="10:10" ht="15.75" customHeight="1" x14ac:dyDescent="0.25"/>
    <row r="279" spans="10:10" ht="15.75" customHeight="1" x14ac:dyDescent="0.25"/>
    <row r="280" spans="10:10" ht="15.75" customHeight="1" x14ac:dyDescent="0.25"/>
    <row r="281" spans="10:10" ht="15.75" customHeight="1" x14ac:dyDescent="0.25"/>
    <row r="282" spans="10:10" ht="15.75" customHeight="1" x14ac:dyDescent="0.25"/>
    <row r="283" spans="10:10" ht="15.75" customHeight="1" x14ac:dyDescent="0.25"/>
    <row r="284" spans="10:10" ht="15.75" customHeight="1" x14ac:dyDescent="0.25"/>
    <row r="285" spans="10:10" ht="15.75" customHeight="1" x14ac:dyDescent="0.25"/>
    <row r="286" spans="10:10" ht="15.75" customHeight="1" x14ac:dyDescent="0.25"/>
    <row r="287" spans="10:10" ht="15.75" customHeight="1" x14ac:dyDescent="0.25"/>
    <row r="288" spans="10:10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</sheetData>
  <dataConsolidate/>
  <mergeCells count="2">
    <mergeCell ref="A1:I1"/>
    <mergeCell ref="W1:AE1"/>
  </mergeCells>
  <conditionalFormatting sqref="A3:I67 B68:I68 I70:I71 B69:H71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s"/>
  <dimension ref="A1:G21"/>
  <sheetViews>
    <sheetView workbookViewId="0">
      <selection activeCell="E6" sqref="E6"/>
    </sheetView>
  </sheetViews>
  <sheetFormatPr defaultRowHeight="15" x14ac:dyDescent="0.25"/>
  <cols>
    <col min="2" max="2" width="14.85546875" bestFit="1" customWidth="1"/>
    <col min="3" max="3" width="16.85546875" customWidth="1"/>
    <col min="5" max="5" width="14.42578125" customWidth="1"/>
  </cols>
  <sheetData>
    <row r="1" spans="1:7" x14ac:dyDescent="0.25">
      <c r="A1" s="106" t="s">
        <v>284</v>
      </c>
      <c r="B1" s="107"/>
      <c r="C1" s="107"/>
      <c r="D1" s="107"/>
      <c r="E1" s="107"/>
      <c r="F1" s="107"/>
    </row>
    <row r="2" spans="1:7" x14ac:dyDescent="0.25">
      <c r="A2" s="108" t="s">
        <v>299</v>
      </c>
      <c r="B2" s="108" t="s">
        <v>287</v>
      </c>
      <c r="C2" s="108" t="s">
        <v>280</v>
      </c>
      <c r="D2" s="108" t="s">
        <v>263</v>
      </c>
      <c r="E2" s="108" t="s">
        <v>312</v>
      </c>
      <c r="F2" s="108" t="s">
        <v>313</v>
      </c>
    </row>
    <row r="3" spans="1:7" x14ac:dyDescent="0.25">
      <c r="A3">
        <v>1004</v>
      </c>
      <c r="B3" s="53">
        <v>44457.408553240741</v>
      </c>
      <c r="C3" t="s">
        <v>318</v>
      </c>
      <c r="D3" s="54">
        <v>81.28</v>
      </c>
      <c r="E3" s="54"/>
      <c r="F3" s="54"/>
      <c r="G3" s="54"/>
    </row>
    <row r="4" spans="1:7" x14ac:dyDescent="0.25">
      <c r="A4">
        <v>1005</v>
      </c>
      <c r="B4" s="53">
        <v>44457.408912037034</v>
      </c>
      <c r="C4" t="s">
        <v>318</v>
      </c>
      <c r="D4" s="54">
        <v>18.16</v>
      </c>
      <c r="F4" s="54"/>
      <c r="G4" s="54"/>
    </row>
    <row r="5" spans="1:7" x14ac:dyDescent="0.25">
      <c r="A5">
        <v>1006</v>
      </c>
      <c r="B5" s="53">
        <v>44457.409062500003</v>
      </c>
      <c r="C5" t="s">
        <v>318</v>
      </c>
      <c r="D5" s="54">
        <v>6.05</v>
      </c>
      <c r="F5" s="54"/>
      <c r="G5" s="54"/>
    </row>
    <row r="6" spans="1:7" x14ac:dyDescent="0.25">
      <c r="A6">
        <v>1007</v>
      </c>
      <c r="B6" s="53">
        <v>44457.409479166665</v>
      </c>
      <c r="C6" t="s">
        <v>318</v>
      </c>
      <c r="D6" s="54">
        <v>158.13999999999999</v>
      </c>
      <c r="E6" s="54">
        <v>200</v>
      </c>
      <c r="F6" s="54">
        <v>41.86</v>
      </c>
      <c r="G6" s="54"/>
    </row>
    <row r="7" spans="1:7" x14ac:dyDescent="0.25">
      <c r="A7">
        <v>1008</v>
      </c>
      <c r="B7" s="53">
        <v>44457.409733796296</v>
      </c>
      <c r="C7" t="s">
        <v>318</v>
      </c>
      <c r="D7" s="54">
        <v>29.69</v>
      </c>
      <c r="F7" s="54"/>
      <c r="G7" s="54"/>
    </row>
    <row r="8" spans="1:7" x14ac:dyDescent="0.25">
      <c r="A8">
        <v>1009</v>
      </c>
      <c r="B8" s="53">
        <v>44457.410231481481</v>
      </c>
      <c r="C8" t="s">
        <v>318</v>
      </c>
      <c r="D8" s="54">
        <v>10.34</v>
      </c>
      <c r="F8" s="54"/>
      <c r="G8" s="54"/>
    </row>
    <row r="9" spans="1:7" x14ac:dyDescent="0.25">
      <c r="A9">
        <v>1010</v>
      </c>
      <c r="B9" s="53">
        <v>44457.411157407405</v>
      </c>
      <c r="C9" t="s">
        <v>318</v>
      </c>
      <c r="D9" s="54">
        <v>165.68</v>
      </c>
      <c r="F9" s="54"/>
      <c r="G9" s="54"/>
    </row>
    <row r="10" spans="1:7" x14ac:dyDescent="0.25">
      <c r="A10">
        <v>1011</v>
      </c>
      <c r="B10" s="53">
        <v>44457.412534722222</v>
      </c>
      <c r="C10" t="s">
        <v>318</v>
      </c>
      <c r="D10" s="54">
        <v>63.95</v>
      </c>
      <c r="F10" s="54"/>
      <c r="G10" s="54"/>
    </row>
    <row r="11" spans="1:7" x14ac:dyDescent="0.25">
      <c r="A11">
        <v>1012</v>
      </c>
      <c r="B11" s="53">
        <v>44457.414317129631</v>
      </c>
      <c r="C11" t="s">
        <v>318</v>
      </c>
      <c r="D11" s="54">
        <v>41.85</v>
      </c>
      <c r="E11" s="54"/>
      <c r="F11" s="54"/>
      <c r="G11" s="54"/>
    </row>
    <row r="12" spans="1:7" x14ac:dyDescent="0.25">
      <c r="A12">
        <v>1013</v>
      </c>
      <c r="B12" s="53">
        <v>44457.414317129631</v>
      </c>
      <c r="C12" t="s">
        <v>318</v>
      </c>
      <c r="D12" s="54">
        <v>58.71</v>
      </c>
      <c r="E12" s="54">
        <v>60</v>
      </c>
      <c r="F12" s="54">
        <v>1.29</v>
      </c>
      <c r="G12" s="54"/>
    </row>
    <row r="13" spans="1:7" x14ac:dyDescent="0.25">
      <c r="B13" s="53"/>
      <c r="F13" s="54"/>
      <c r="G13" s="54"/>
    </row>
    <row r="14" spans="1:7" x14ac:dyDescent="0.25">
      <c r="B14" s="53"/>
      <c r="F14" s="54"/>
      <c r="G14" s="54"/>
    </row>
    <row r="15" spans="1:7" x14ac:dyDescent="0.25">
      <c r="B15" s="53"/>
      <c r="F15" s="54"/>
      <c r="G15" s="54"/>
    </row>
    <row r="16" spans="1:7" x14ac:dyDescent="0.25">
      <c r="B16" s="53"/>
      <c r="F16" s="54"/>
      <c r="G16" s="54"/>
    </row>
    <row r="17" spans="2:7" x14ac:dyDescent="0.25">
      <c r="B17" s="53"/>
      <c r="F17" s="54"/>
      <c r="G17" s="54"/>
    </row>
    <row r="18" spans="2:7" x14ac:dyDescent="0.25">
      <c r="B18" s="53"/>
      <c r="F18" s="54"/>
      <c r="G18" s="54"/>
    </row>
    <row r="19" spans="2:7" x14ac:dyDescent="0.25">
      <c r="B19" s="53"/>
      <c r="F19" s="54"/>
      <c r="G19" s="54"/>
    </row>
    <row r="20" spans="2:7" x14ac:dyDescent="0.25">
      <c r="B20" s="53"/>
      <c r="F20" s="54"/>
      <c r="G20" s="54"/>
    </row>
    <row r="21" spans="2:7" x14ac:dyDescent="0.25">
      <c r="B21" s="53"/>
      <c r="F21" s="54"/>
      <c r="G21" s="54"/>
    </row>
  </sheetData>
  <mergeCells count="1">
    <mergeCell ref="A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OrderItems"/>
  <dimension ref="A1:S172"/>
  <sheetViews>
    <sheetView topLeftCell="C1" workbookViewId="0">
      <selection activeCell="P3" sqref="P3"/>
    </sheetView>
  </sheetViews>
  <sheetFormatPr defaultRowHeight="15" x14ac:dyDescent="0.25"/>
  <cols>
    <col min="2" max="2" width="12.140625" customWidth="1"/>
    <col min="3" max="3" width="21.85546875" bestFit="1" customWidth="1"/>
    <col min="4" max="4" width="4.140625" bestFit="1" customWidth="1"/>
    <col min="8" max="8" width="4.85546875" bestFit="1" customWidth="1"/>
    <col min="10" max="10" width="10" customWidth="1"/>
    <col min="14" max="14" width="18.85546875" bestFit="1" customWidth="1"/>
    <col min="15" max="15" width="4.140625" bestFit="1" customWidth="1"/>
  </cols>
  <sheetData>
    <row r="1" spans="1:19" x14ac:dyDescent="0.25">
      <c r="A1" s="117" t="s">
        <v>284</v>
      </c>
      <c r="B1" s="118"/>
      <c r="C1" s="118"/>
      <c r="D1" s="118"/>
      <c r="E1" s="118"/>
      <c r="F1" s="118"/>
      <c r="G1" s="118"/>
      <c r="H1" s="119"/>
      <c r="J1" s="139" t="s">
        <v>183</v>
      </c>
      <c r="L1" s="115" t="s">
        <v>182</v>
      </c>
      <c r="M1" s="115"/>
      <c r="N1" s="115"/>
      <c r="O1" s="115"/>
      <c r="P1" s="115"/>
      <c r="Q1" s="115"/>
      <c r="R1" s="115"/>
      <c r="S1" s="115"/>
    </row>
    <row r="2" spans="1:19" x14ac:dyDescent="0.25">
      <c r="A2" s="116" t="s">
        <v>283</v>
      </c>
      <c r="B2" s="116" t="s">
        <v>315</v>
      </c>
      <c r="C2" s="116" t="s">
        <v>314</v>
      </c>
      <c r="D2" s="116" t="s">
        <v>261</v>
      </c>
      <c r="E2" s="116" t="s">
        <v>262</v>
      </c>
      <c r="F2" s="116" t="s">
        <v>263</v>
      </c>
      <c r="G2" s="116" t="s">
        <v>286</v>
      </c>
      <c r="H2" s="116" t="s">
        <v>285</v>
      </c>
      <c r="J2" s="116" t="s">
        <v>283</v>
      </c>
      <c r="L2" s="116" t="s">
        <v>283</v>
      </c>
      <c r="M2" s="116" t="s">
        <v>315</v>
      </c>
      <c r="N2" s="116" t="s">
        <v>314</v>
      </c>
      <c r="O2" s="116" t="s">
        <v>261</v>
      </c>
      <c r="P2" s="116" t="s">
        <v>262</v>
      </c>
      <c r="Q2" s="116" t="s">
        <v>263</v>
      </c>
      <c r="R2" s="116" t="s">
        <v>286</v>
      </c>
      <c r="S2" s="116" t="s">
        <v>285</v>
      </c>
    </row>
    <row r="3" spans="1:19" x14ac:dyDescent="0.25">
      <c r="A3">
        <v>1004</v>
      </c>
      <c r="B3" t="s">
        <v>116</v>
      </c>
      <c r="C3" t="s">
        <v>308</v>
      </c>
      <c r="D3">
        <v>2</v>
      </c>
      <c r="E3" s="54">
        <v>3.96</v>
      </c>
      <c r="F3" s="54">
        <v>7.92</v>
      </c>
      <c r="G3" s="109">
        <v>11</v>
      </c>
      <c r="H3" s="109">
        <f>ROW()</f>
        <v>3</v>
      </c>
      <c r="J3" s="110">
        <v>1013</v>
      </c>
      <c r="L3">
        <v>1013</v>
      </c>
      <c r="M3" t="s">
        <v>116</v>
      </c>
      <c r="N3" t="s">
        <v>308</v>
      </c>
      <c r="O3">
        <v>1</v>
      </c>
      <c r="P3" s="54">
        <v>3.96</v>
      </c>
      <c r="Q3" s="54">
        <v>3.96</v>
      </c>
      <c r="R3" s="109">
        <v>11</v>
      </c>
      <c r="S3" s="109">
        <v>49</v>
      </c>
    </row>
    <row r="4" spans="1:19" x14ac:dyDescent="0.25">
      <c r="A4">
        <v>1004</v>
      </c>
      <c r="B4" t="s">
        <v>114</v>
      </c>
      <c r="C4" t="s">
        <v>200</v>
      </c>
      <c r="D4">
        <v>3</v>
      </c>
      <c r="E4" s="54">
        <v>2.59</v>
      </c>
      <c r="F4" s="54">
        <v>7.77</v>
      </c>
      <c r="G4" s="109">
        <v>12</v>
      </c>
      <c r="H4" s="109">
        <f>ROW()</f>
        <v>4</v>
      </c>
      <c r="L4">
        <v>1013</v>
      </c>
      <c r="M4" t="s">
        <v>125</v>
      </c>
      <c r="N4" t="s">
        <v>198</v>
      </c>
      <c r="O4">
        <v>1</v>
      </c>
      <c r="P4" s="54">
        <v>8.86</v>
      </c>
      <c r="Q4" s="54">
        <v>8.86</v>
      </c>
      <c r="R4" s="109">
        <v>12</v>
      </c>
      <c r="S4" s="109">
        <v>50</v>
      </c>
    </row>
    <row r="5" spans="1:19" x14ac:dyDescent="0.25">
      <c r="A5">
        <v>1004</v>
      </c>
      <c r="B5" t="s">
        <v>108</v>
      </c>
      <c r="C5" t="s">
        <v>203</v>
      </c>
      <c r="D5">
        <v>2</v>
      </c>
      <c r="E5" s="54">
        <v>5.59</v>
      </c>
      <c r="F5" s="54">
        <v>11.18</v>
      </c>
      <c r="G5" s="109">
        <v>13</v>
      </c>
      <c r="H5" s="109">
        <f>ROW()</f>
        <v>5</v>
      </c>
      <c r="L5">
        <v>1013</v>
      </c>
      <c r="M5" t="s">
        <v>128</v>
      </c>
      <c r="N5" t="s">
        <v>197</v>
      </c>
      <c r="O5">
        <v>1</v>
      </c>
      <c r="P5" s="54">
        <v>10.51</v>
      </c>
      <c r="Q5" s="54">
        <v>10.51</v>
      </c>
      <c r="R5" s="109">
        <v>13</v>
      </c>
      <c r="S5" s="109">
        <v>51</v>
      </c>
    </row>
    <row r="6" spans="1:19" x14ac:dyDescent="0.25">
      <c r="A6">
        <v>1004</v>
      </c>
      <c r="B6" t="s">
        <v>120</v>
      </c>
      <c r="C6" t="s">
        <v>310</v>
      </c>
      <c r="D6">
        <v>1</v>
      </c>
      <c r="E6" s="54">
        <v>2.77</v>
      </c>
      <c r="F6" s="54">
        <v>2.77</v>
      </c>
      <c r="G6" s="109">
        <v>14</v>
      </c>
      <c r="H6" s="109">
        <f>ROW()</f>
        <v>6</v>
      </c>
      <c r="L6">
        <v>1013</v>
      </c>
      <c r="M6" t="s">
        <v>118</v>
      </c>
      <c r="N6" t="s">
        <v>309</v>
      </c>
      <c r="O6">
        <v>1</v>
      </c>
      <c r="P6" s="54">
        <v>3.96</v>
      </c>
      <c r="Q6" s="54">
        <v>3.96</v>
      </c>
      <c r="R6" s="109">
        <v>14</v>
      </c>
      <c r="S6" s="109">
        <v>52</v>
      </c>
    </row>
    <row r="7" spans="1:19" x14ac:dyDescent="0.25">
      <c r="A7">
        <v>1004</v>
      </c>
      <c r="B7" t="s">
        <v>106</v>
      </c>
      <c r="C7" t="s">
        <v>204</v>
      </c>
      <c r="D7">
        <v>1</v>
      </c>
      <c r="E7" s="54">
        <v>2.5099999999999998</v>
      </c>
      <c r="F7" s="54">
        <v>2.5099999999999998</v>
      </c>
      <c r="G7" s="109">
        <v>15</v>
      </c>
      <c r="H7" s="109">
        <f>ROW()</f>
        <v>7</v>
      </c>
      <c r="L7">
        <v>1013</v>
      </c>
      <c r="M7" t="s">
        <v>110</v>
      </c>
      <c r="N7" t="s">
        <v>202</v>
      </c>
      <c r="O7">
        <v>1</v>
      </c>
      <c r="P7" s="54">
        <v>21.47</v>
      </c>
      <c r="Q7" s="54">
        <v>21.47</v>
      </c>
      <c r="R7" s="109">
        <v>15</v>
      </c>
      <c r="S7" s="109">
        <v>53</v>
      </c>
    </row>
    <row r="8" spans="1:19" x14ac:dyDescent="0.25">
      <c r="A8">
        <v>1004</v>
      </c>
      <c r="B8" t="s">
        <v>110</v>
      </c>
      <c r="C8" t="s">
        <v>202</v>
      </c>
      <c r="D8">
        <v>2</v>
      </c>
      <c r="E8" s="54">
        <v>21.47</v>
      </c>
      <c r="F8" s="54">
        <v>42.94</v>
      </c>
      <c r="G8" s="109">
        <v>16</v>
      </c>
      <c r="H8" s="109">
        <f>ROW()</f>
        <v>8</v>
      </c>
      <c r="L8">
        <v>1013</v>
      </c>
      <c r="M8" t="s">
        <v>101</v>
      </c>
      <c r="N8" t="s">
        <v>205</v>
      </c>
      <c r="O8">
        <v>1</v>
      </c>
      <c r="P8" s="54">
        <v>2.42</v>
      </c>
      <c r="Q8" s="54">
        <v>2.42</v>
      </c>
      <c r="R8" s="109">
        <v>16</v>
      </c>
      <c r="S8" s="109">
        <v>54</v>
      </c>
    </row>
    <row r="9" spans="1:19" x14ac:dyDescent="0.25">
      <c r="A9">
        <v>1005</v>
      </c>
      <c r="B9" t="s">
        <v>116</v>
      </c>
      <c r="C9" t="s">
        <v>308</v>
      </c>
      <c r="D9">
        <v>1</v>
      </c>
      <c r="E9" s="54">
        <v>3.96</v>
      </c>
      <c r="F9" s="54">
        <v>3.96</v>
      </c>
      <c r="G9" s="109">
        <v>11</v>
      </c>
      <c r="H9" s="109">
        <f>ROW()</f>
        <v>9</v>
      </c>
      <c r="L9">
        <v>1013</v>
      </c>
      <c r="M9" t="s">
        <v>95</v>
      </c>
      <c r="N9" t="s">
        <v>207</v>
      </c>
      <c r="O9">
        <v>1</v>
      </c>
      <c r="P9" s="54">
        <v>3.06</v>
      </c>
      <c r="Q9" s="54">
        <v>3.06</v>
      </c>
      <c r="R9" s="109">
        <v>17</v>
      </c>
      <c r="S9" s="109">
        <v>55</v>
      </c>
    </row>
    <row r="10" spans="1:19" x14ac:dyDescent="0.25">
      <c r="A10">
        <v>1005</v>
      </c>
      <c r="B10" t="s">
        <v>125</v>
      </c>
      <c r="C10" t="s">
        <v>198</v>
      </c>
      <c r="D10">
        <v>1</v>
      </c>
      <c r="E10" s="54">
        <v>8.86</v>
      </c>
      <c r="F10" s="54">
        <v>8.86</v>
      </c>
      <c r="G10" s="109">
        <v>12</v>
      </c>
      <c r="H10" s="109">
        <f>ROW()</f>
        <v>10</v>
      </c>
      <c r="P10" s="54"/>
      <c r="Q10" s="54"/>
      <c r="R10" s="109"/>
      <c r="S10" s="109"/>
    </row>
    <row r="11" spans="1:19" x14ac:dyDescent="0.25">
      <c r="A11">
        <v>1005</v>
      </c>
      <c r="B11" t="s">
        <v>118</v>
      </c>
      <c r="C11" t="s">
        <v>309</v>
      </c>
      <c r="D11">
        <v>1</v>
      </c>
      <c r="E11" s="54">
        <v>3.96</v>
      </c>
      <c r="F11" s="54">
        <v>3.96</v>
      </c>
      <c r="G11" s="109">
        <v>13</v>
      </c>
      <c r="H11" s="109">
        <f>ROW()</f>
        <v>11</v>
      </c>
      <c r="P11" s="54"/>
      <c r="Q11" s="54"/>
      <c r="R11" s="109"/>
      <c r="S11" s="109"/>
    </row>
    <row r="12" spans="1:19" x14ac:dyDescent="0.25">
      <c r="A12">
        <v>1006</v>
      </c>
      <c r="B12" t="s">
        <v>108</v>
      </c>
      <c r="C12" t="s">
        <v>203</v>
      </c>
      <c r="D12">
        <v>1</v>
      </c>
      <c r="E12" s="54">
        <v>5.59</v>
      </c>
      <c r="F12" s="54">
        <v>5.59</v>
      </c>
      <c r="G12" s="109">
        <v>11</v>
      </c>
      <c r="H12" s="109">
        <f>ROW()</f>
        <v>12</v>
      </c>
      <c r="P12" s="54"/>
      <c r="Q12" s="54"/>
      <c r="R12" s="109"/>
      <c r="S12" s="109"/>
    </row>
    <row r="13" spans="1:19" x14ac:dyDescent="0.25">
      <c r="A13">
        <v>1007</v>
      </c>
      <c r="B13" t="s">
        <v>110</v>
      </c>
      <c r="C13" t="s">
        <v>202</v>
      </c>
      <c r="D13">
        <v>1</v>
      </c>
      <c r="E13" s="54">
        <v>21.47</v>
      </c>
      <c r="F13" s="54">
        <v>21.47</v>
      </c>
      <c r="G13" s="109">
        <v>11</v>
      </c>
      <c r="H13" s="109">
        <f>ROW()</f>
        <v>13</v>
      </c>
      <c r="P13" s="54"/>
      <c r="Q13" s="54"/>
      <c r="R13" s="109"/>
      <c r="S13" s="109"/>
    </row>
    <row r="14" spans="1:19" x14ac:dyDescent="0.25">
      <c r="A14">
        <v>1008</v>
      </c>
      <c r="B14" t="s">
        <v>116</v>
      </c>
      <c r="C14" t="s">
        <v>308</v>
      </c>
      <c r="D14">
        <v>1</v>
      </c>
      <c r="E14" s="54">
        <v>3.96</v>
      </c>
      <c r="F14" s="54">
        <v>3.96</v>
      </c>
      <c r="G14" s="109">
        <v>11</v>
      </c>
      <c r="H14" s="109">
        <f>ROW()</f>
        <v>14</v>
      </c>
    </row>
    <row r="15" spans="1:19" x14ac:dyDescent="0.25">
      <c r="A15">
        <v>1009</v>
      </c>
      <c r="B15" t="s">
        <v>108</v>
      </c>
      <c r="C15" t="s">
        <v>203</v>
      </c>
      <c r="D15">
        <v>1</v>
      </c>
      <c r="E15" s="54">
        <v>5.59</v>
      </c>
      <c r="F15" s="54">
        <v>5.59</v>
      </c>
      <c r="G15" s="109">
        <v>11</v>
      </c>
      <c r="H15" s="109">
        <f>ROW()</f>
        <v>15</v>
      </c>
    </row>
    <row r="16" spans="1:19" x14ac:dyDescent="0.25">
      <c r="A16">
        <v>1009</v>
      </c>
      <c r="B16" t="s">
        <v>116</v>
      </c>
      <c r="C16" t="s">
        <v>308</v>
      </c>
      <c r="D16">
        <v>1</v>
      </c>
      <c r="E16" s="54">
        <v>3.96</v>
      </c>
      <c r="F16" s="54">
        <v>3.96</v>
      </c>
      <c r="G16" s="109">
        <v>12</v>
      </c>
      <c r="H16" s="109">
        <f>ROW()</f>
        <v>16</v>
      </c>
    </row>
    <row r="17" spans="1:8" x14ac:dyDescent="0.25">
      <c r="A17">
        <v>1010</v>
      </c>
      <c r="B17" t="s">
        <v>116</v>
      </c>
      <c r="C17" t="s">
        <v>308</v>
      </c>
      <c r="D17">
        <v>1</v>
      </c>
      <c r="E17" s="54">
        <v>3.96</v>
      </c>
      <c r="F17" s="54">
        <v>3.96</v>
      </c>
      <c r="G17" s="109">
        <v>11</v>
      </c>
      <c r="H17" s="109">
        <f>ROW()</f>
        <v>17</v>
      </c>
    </row>
    <row r="18" spans="1:8" x14ac:dyDescent="0.25">
      <c r="A18">
        <v>1010</v>
      </c>
      <c r="B18" t="s">
        <v>118</v>
      </c>
      <c r="C18" t="s">
        <v>309</v>
      </c>
      <c r="D18">
        <v>1</v>
      </c>
      <c r="E18" s="54">
        <v>3.96</v>
      </c>
      <c r="F18" s="54">
        <v>3.96</v>
      </c>
      <c r="G18" s="109">
        <v>12</v>
      </c>
      <c r="H18" s="109">
        <f>ROW()</f>
        <v>18</v>
      </c>
    </row>
    <row r="19" spans="1:8" x14ac:dyDescent="0.25">
      <c r="A19">
        <v>1010</v>
      </c>
      <c r="B19" t="s">
        <v>110</v>
      </c>
      <c r="C19" t="s">
        <v>202</v>
      </c>
      <c r="D19">
        <v>2</v>
      </c>
      <c r="E19" s="54">
        <v>21.47</v>
      </c>
      <c r="F19" s="54">
        <v>42.94</v>
      </c>
      <c r="G19" s="109">
        <v>13</v>
      </c>
      <c r="H19" s="109">
        <f>ROW()</f>
        <v>19</v>
      </c>
    </row>
    <row r="20" spans="1:8" x14ac:dyDescent="0.25">
      <c r="A20">
        <v>1010</v>
      </c>
      <c r="B20" t="s">
        <v>108</v>
      </c>
      <c r="C20" t="s">
        <v>203</v>
      </c>
      <c r="D20">
        <v>2</v>
      </c>
      <c r="E20" s="54">
        <v>5.59</v>
      </c>
      <c r="F20" s="54">
        <v>11.18</v>
      </c>
      <c r="G20" s="109">
        <v>14</v>
      </c>
      <c r="H20" s="109">
        <f>ROW()</f>
        <v>20</v>
      </c>
    </row>
    <row r="21" spans="1:8" x14ac:dyDescent="0.25">
      <c r="A21">
        <v>1010</v>
      </c>
      <c r="B21" t="s">
        <v>106</v>
      </c>
      <c r="C21" t="s">
        <v>204</v>
      </c>
      <c r="D21">
        <v>1</v>
      </c>
      <c r="E21" s="54">
        <v>2.5099999999999998</v>
      </c>
      <c r="F21" s="54">
        <v>2.5099999999999998</v>
      </c>
      <c r="G21" s="109">
        <v>15</v>
      </c>
      <c r="H21" s="109">
        <f>ROW()</f>
        <v>21</v>
      </c>
    </row>
    <row r="22" spans="1:8" x14ac:dyDescent="0.25">
      <c r="A22">
        <v>1010</v>
      </c>
      <c r="B22" t="s">
        <v>95</v>
      </c>
      <c r="C22" t="s">
        <v>207</v>
      </c>
      <c r="D22">
        <v>1</v>
      </c>
      <c r="E22" s="54">
        <v>3.06</v>
      </c>
      <c r="F22" s="54">
        <v>3.06</v>
      </c>
      <c r="G22" s="109">
        <v>16</v>
      </c>
      <c r="H22" s="109">
        <f>ROW()</f>
        <v>22</v>
      </c>
    </row>
    <row r="23" spans="1:8" x14ac:dyDescent="0.25">
      <c r="A23">
        <v>1010</v>
      </c>
      <c r="B23" t="s">
        <v>139</v>
      </c>
      <c r="C23" t="s">
        <v>193</v>
      </c>
      <c r="D23">
        <v>3</v>
      </c>
      <c r="E23" s="54">
        <v>15.3</v>
      </c>
      <c r="F23" s="54">
        <v>45.9</v>
      </c>
      <c r="G23" s="109">
        <v>17</v>
      </c>
      <c r="H23" s="109">
        <f>ROW()</f>
        <v>23</v>
      </c>
    </row>
    <row r="24" spans="1:8" x14ac:dyDescent="0.25">
      <c r="A24">
        <v>1010</v>
      </c>
      <c r="B24" t="s">
        <v>135</v>
      </c>
      <c r="C24" t="s">
        <v>194</v>
      </c>
      <c r="D24">
        <v>2</v>
      </c>
      <c r="E24" s="54">
        <v>1.84</v>
      </c>
      <c r="F24" s="54">
        <v>3.68</v>
      </c>
      <c r="G24" s="109">
        <v>18</v>
      </c>
      <c r="H24" s="109">
        <f>ROW()</f>
        <v>24</v>
      </c>
    </row>
    <row r="25" spans="1:8" x14ac:dyDescent="0.25">
      <c r="A25">
        <v>1010</v>
      </c>
      <c r="B25" t="s">
        <v>133</v>
      </c>
      <c r="C25" t="s">
        <v>195</v>
      </c>
      <c r="D25">
        <v>1</v>
      </c>
      <c r="E25" s="54">
        <v>1.84</v>
      </c>
      <c r="F25" s="54">
        <v>1.84</v>
      </c>
      <c r="G25" s="109">
        <v>19</v>
      </c>
      <c r="H25" s="109">
        <f>ROW()</f>
        <v>25</v>
      </c>
    </row>
    <row r="26" spans="1:8" x14ac:dyDescent="0.25">
      <c r="A26">
        <v>1010</v>
      </c>
      <c r="B26" t="s">
        <v>149</v>
      </c>
      <c r="C26" t="s">
        <v>190</v>
      </c>
      <c r="D26">
        <v>1</v>
      </c>
      <c r="E26" s="54">
        <v>5.15</v>
      </c>
      <c r="F26" s="54">
        <v>5.15</v>
      </c>
      <c r="G26" s="109">
        <v>20</v>
      </c>
      <c r="H26" s="109">
        <f>ROW()</f>
        <v>26</v>
      </c>
    </row>
    <row r="27" spans="1:8" x14ac:dyDescent="0.25">
      <c r="A27">
        <v>1010</v>
      </c>
      <c r="B27" t="s">
        <v>72</v>
      </c>
      <c r="C27" t="s">
        <v>212</v>
      </c>
      <c r="D27">
        <v>1</v>
      </c>
      <c r="E27" s="54">
        <v>10.99</v>
      </c>
      <c r="F27" s="54">
        <v>10.99</v>
      </c>
      <c r="G27" s="109">
        <v>21</v>
      </c>
      <c r="H27" s="109">
        <f>ROW()</f>
        <v>27</v>
      </c>
    </row>
    <row r="28" spans="1:8" x14ac:dyDescent="0.25">
      <c r="A28">
        <v>1010</v>
      </c>
      <c r="B28" t="s">
        <v>70</v>
      </c>
      <c r="C28" t="s">
        <v>213</v>
      </c>
      <c r="D28">
        <v>1</v>
      </c>
      <c r="E28" s="54">
        <v>10.99</v>
      </c>
      <c r="F28" s="54">
        <v>10.99</v>
      </c>
      <c r="G28" s="109">
        <v>22</v>
      </c>
      <c r="H28" s="109">
        <f>ROW()</f>
        <v>28</v>
      </c>
    </row>
    <row r="29" spans="1:8" x14ac:dyDescent="0.25">
      <c r="A29">
        <v>1010</v>
      </c>
      <c r="B29" t="s">
        <v>67</v>
      </c>
      <c r="C29" t="s">
        <v>214</v>
      </c>
      <c r="D29">
        <v>1</v>
      </c>
      <c r="E29" s="54">
        <v>6.89</v>
      </c>
      <c r="F29" s="54">
        <v>6.89</v>
      </c>
      <c r="G29" s="109">
        <v>23</v>
      </c>
      <c r="H29" s="109">
        <f>ROW()</f>
        <v>29</v>
      </c>
    </row>
    <row r="30" spans="1:8" x14ac:dyDescent="0.25">
      <c r="A30">
        <v>1011</v>
      </c>
      <c r="B30" t="s">
        <v>67</v>
      </c>
      <c r="C30" t="s">
        <v>214</v>
      </c>
      <c r="D30">
        <v>1</v>
      </c>
      <c r="E30" s="54">
        <v>6.89</v>
      </c>
      <c r="F30" s="54">
        <v>6.89</v>
      </c>
      <c r="G30" s="109">
        <v>11</v>
      </c>
      <c r="H30" s="109">
        <f>ROW()</f>
        <v>30</v>
      </c>
    </row>
    <row r="31" spans="1:8" x14ac:dyDescent="0.25">
      <c r="A31">
        <v>1011</v>
      </c>
      <c r="B31" t="s">
        <v>70</v>
      </c>
      <c r="C31" t="s">
        <v>213</v>
      </c>
      <c r="D31">
        <v>1</v>
      </c>
      <c r="E31" s="54">
        <v>10.99</v>
      </c>
      <c r="F31" s="54">
        <v>10.99</v>
      </c>
      <c r="G31" s="109">
        <v>12</v>
      </c>
      <c r="H31" s="109">
        <f>ROW()</f>
        <v>31</v>
      </c>
    </row>
    <row r="32" spans="1:8" x14ac:dyDescent="0.25">
      <c r="A32">
        <v>1011</v>
      </c>
      <c r="B32" t="s">
        <v>72</v>
      </c>
      <c r="C32" t="s">
        <v>212</v>
      </c>
      <c r="D32">
        <v>1</v>
      </c>
      <c r="E32" s="54">
        <v>10.99</v>
      </c>
      <c r="F32" s="54">
        <v>10.99</v>
      </c>
      <c r="G32" s="109">
        <v>13</v>
      </c>
      <c r="H32" s="109">
        <f>ROW()</f>
        <v>32</v>
      </c>
    </row>
    <row r="33" spans="1:8" x14ac:dyDescent="0.25">
      <c r="A33">
        <v>1011</v>
      </c>
      <c r="B33" t="s">
        <v>157</v>
      </c>
      <c r="C33" t="s">
        <v>188</v>
      </c>
      <c r="D33">
        <v>1</v>
      </c>
      <c r="E33" s="54">
        <v>24.62</v>
      </c>
      <c r="F33" s="54">
        <v>24.62</v>
      </c>
      <c r="G33" s="109">
        <v>14</v>
      </c>
      <c r="H33" s="109">
        <f>ROW()</f>
        <v>33</v>
      </c>
    </row>
    <row r="34" spans="1:8" x14ac:dyDescent="0.25">
      <c r="A34">
        <v>1011</v>
      </c>
      <c r="B34" t="s">
        <v>108</v>
      </c>
      <c r="C34" t="s">
        <v>203</v>
      </c>
      <c r="D34">
        <v>1</v>
      </c>
      <c r="E34" s="54">
        <v>5.59</v>
      </c>
      <c r="F34" s="54">
        <v>5.59</v>
      </c>
      <c r="G34" s="109">
        <v>15</v>
      </c>
      <c r="H34" s="109">
        <f>ROW()</f>
        <v>34</v>
      </c>
    </row>
    <row r="35" spans="1:8" x14ac:dyDescent="0.25">
      <c r="A35">
        <v>1012</v>
      </c>
      <c r="B35" t="s">
        <v>106</v>
      </c>
      <c r="C35" t="s">
        <v>204</v>
      </c>
      <c r="D35">
        <v>2</v>
      </c>
      <c r="E35" s="54">
        <v>2.5099999999999998</v>
      </c>
      <c r="F35" s="54">
        <v>5.0199999999999996</v>
      </c>
      <c r="G35" s="109">
        <v>11</v>
      </c>
      <c r="H35" s="109">
        <f>ROW()</f>
        <v>35</v>
      </c>
    </row>
    <row r="36" spans="1:8" x14ac:dyDescent="0.25">
      <c r="A36">
        <v>1012</v>
      </c>
      <c r="B36" t="s">
        <v>116</v>
      </c>
      <c r="C36" t="s">
        <v>308</v>
      </c>
      <c r="D36">
        <v>2</v>
      </c>
      <c r="E36" s="54">
        <v>3.96</v>
      </c>
      <c r="F36" s="54">
        <v>7.92</v>
      </c>
      <c r="G36" s="109">
        <v>12</v>
      </c>
      <c r="H36" s="109">
        <f>ROW()</f>
        <v>36</v>
      </c>
    </row>
    <row r="37" spans="1:8" x14ac:dyDescent="0.25">
      <c r="A37">
        <v>1012</v>
      </c>
      <c r="B37" t="s">
        <v>108</v>
      </c>
      <c r="C37" t="s">
        <v>203</v>
      </c>
      <c r="D37">
        <v>3</v>
      </c>
      <c r="E37" s="54">
        <v>5.59</v>
      </c>
      <c r="F37" s="54">
        <v>16.77</v>
      </c>
      <c r="G37" s="109">
        <v>13</v>
      </c>
      <c r="H37" s="109">
        <f>ROW()</f>
        <v>37</v>
      </c>
    </row>
    <row r="38" spans="1:8" x14ac:dyDescent="0.25">
      <c r="A38">
        <v>1007</v>
      </c>
      <c r="B38" t="s">
        <v>118</v>
      </c>
      <c r="C38" t="s">
        <v>309</v>
      </c>
      <c r="D38">
        <v>1</v>
      </c>
      <c r="E38" s="54">
        <v>3.96</v>
      </c>
      <c r="F38" s="54">
        <v>3.96</v>
      </c>
      <c r="G38" s="109">
        <v>13</v>
      </c>
      <c r="H38" s="109">
        <f>ROW()</f>
        <v>38</v>
      </c>
    </row>
    <row r="39" spans="1:8" x14ac:dyDescent="0.25">
      <c r="A39">
        <v>1007</v>
      </c>
      <c r="B39" t="s">
        <v>130</v>
      </c>
      <c r="C39" t="s">
        <v>196</v>
      </c>
      <c r="D39">
        <v>2</v>
      </c>
      <c r="E39" s="54">
        <v>15.23</v>
      </c>
      <c r="F39" s="54">
        <v>30.46</v>
      </c>
      <c r="G39" s="109">
        <v>19</v>
      </c>
      <c r="H39" s="109">
        <f>ROW()</f>
        <v>39</v>
      </c>
    </row>
    <row r="40" spans="1:8" x14ac:dyDescent="0.25">
      <c r="A40">
        <v>1007</v>
      </c>
      <c r="B40" t="s">
        <v>135</v>
      </c>
      <c r="C40" t="s">
        <v>194</v>
      </c>
      <c r="D40">
        <v>2</v>
      </c>
      <c r="E40" s="54">
        <v>1.84</v>
      </c>
      <c r="F40" s="54">
        <v>3.68</v>
      </c>
      <c r="G40" s="109">
        <v>21</v>
      </c>
      <c r="H40" s="109">
        <f>ROW()</f>
        <v>40</v>
      </c>
    </row>
    <row r="41" spans="1:8" x14ac:dyDescent="0.25">
      <c r="A41">
        <v>1007</v>
      </c>
      <c r="B41" t="s">
        <v>139</v>
      </c>
      <c r="C41" t="s">
        <v>193</v>
      </c>
      <c r="D41">
        <v>3</v>
      </c>
      <c r="E41" s="54">
        <v>15.3</v>
      </c>
      <c r="F41" s="54">
        <v>45.9</v>
      </c>
      <c r="G41" s="109">
        <v>22</v>
      </c>
      <c r="H41" s="109">
        <f>ROW()</f>
        <v>41</v>
      </c>
    </row>
    <row r="42" spans="1:8" x14ac:dyDescent="0.25">
      <c r="A42">
        <v>1008</v>
      </c>
      <c r="B42" t="s">
        <v>147</v>
      </c>
      <c r="C42" t="s">
        <v>191</v>
      </c>
      <c r="D42">
        <v>2</v>
      </c>
      <c r="E42" s="54">
        <v>6.18</v>
      </c>
      <c r="F42" s="54">
        <v>12.36</v>
      </c>
      <c r="G42" s="109">
        <v>12</v>
      </c>
      <c r="H42" s="109">
        <f>ROW()</f>
        <v>42</v>
      </c>
    </row>
    <row r="43" spans="1:8" x14ac:dyDescent="0.25">
      <c r="A43">
        <v>1008</v>
      </c>
      <c r="B43">
        <v>8710448569015</v>
      </c>
      <c r="C43" t="s">
        <v>335</v>
      </c>
      <c r="D43">
        <v>2</v>
      </c>
      <c r="E43" s="54">
        <v>1.89</v>
      </c>
      <c r="F43" s="54">
        <v>3.78</v>
      </c>
      <c r="G43" s="109">
        <v>13</v>
      </c>
      <c r="H43" s="109">
        <f>ROW()</f>
        <v>43</v>
      </c>
    </row>
    <row r="44" spans="1:8" x14ac:dyDescent="0.25">
      <c r="A44">
        <v>1008</v>
      </c>
      <c r="B44">
        <v>41303003640</v>
      </c>
      <c r="C44" t="s">
        <v>330</v>
      </c>
      <c r="D44">
        <v>2</v>
      </c>
      <c r="E44" s="54">
        <v>0.95</v>
      </c>
      <c r="F44" s="54">
        <v>1.9</v>
      </c>
      <c r="G44" s="109">
        <v>14</v>
      </c>
      <c r="H44" s="109">
        <f>ROW()</f>
        <v>44</v>
      </c>
    </row>
    <row r="45" spans="1:8" x14ac:dyDescent="0.25">
      <c r="A45">
        <v>1008</v>
      </c>
      <c r="B45" t="s">
        <v>142</v>
      </c>
      <c r="C45" t="s">
        <v>311</v>
      </c>
      <c r="D45">
        <v>1</v>
      </c>
      <c r="E45" s="54">
        <v>1.76</v>
      </c>
      <c r="F45" s="54">
        <v>1.76</v>
      </c>
      <c r="G45" s="109">
        <v>15</v>
      </c>
      <c r="H45" s="109">
        <f>ROW()</f>
        <v>45</v>
      </c>
    </row>
    <row r="46" spans="1:8" x14ac:dyDescent="0.25">
      <c r="A46">
        <v>1008</v>
      </c>
      <c r="B46" t="s">
        <v>145</v>
      </c>
      <c r="C46" t="s">
        <v>192</v>
      </c>
      <c r="D46">
        <v>1</v>
      </c>
      <c r="E46" s="54">
        <v>3.67</v>
      </c>
      <c r="F46" s="54">
        <v>3.67</v>
      </c>
      <c r="G46" s="109">
        <v>16</v>
      </c>
      <c r="H46" s="109">
        <f>ROW()</f>
        <v>46</v>
      </c>
    </row>
    <row r="47" spans="1:8" x14ac:dyDescent="0.25">
      <c r="A47">
        <v>1012</v>
      </c>
      <c r="B47" t="s">
        <v>142</v>
      </c>
      <c r="C47" t="s">
        <v>311</v>
      </c>
      <c r="D47">
        <v>3</v>
      </c>
      <c r="E47" s="54">
        <v>1.76</v>
      </c>
      <c r="F47" s="54">
        <v>5.28</v>
      </c>
      <c r="G47" s="109">
        <v>14</v>
      </c>
      <c r="H47" s="109">
        <f>ROW()</f>
        <v>47</v>
      </c>
    </row>
    <row r="48" spans="1:8" x14ac:dyDescent="0.25">
      <c r="A48">
        <v>1012</v>
      </c>
      <c r="B48" t="s">
        <v>145</v>
      </c>
      <c r="C48" t="s">
        <v>192</v>
      </c>
      <c r="D48">
        <v>1</v>
      </c>
      <c r="E48" s="54">
        <v>3.67</v>
      </c>
      <c r="F48" s="54">
        <v>3.67</v>
      </c>
      <c r="G48" s="109">
        <v>15</v>
      </c>
      <c r="H48" s="109">
        <f>ROW()</f>
        <v>48</v>
      </c>
    </row>
    <row r="49" spans="1:8" x14ac:dyDescent="0.25">
      <c r="A49">
        <v>1013</v>
      </c>
      <c r="B49" t="s">
        <v>116</v>
      </c>
      <c r="C49" t="s">
        <v>308</v>
      </c>
      <c r="D49">
        <v>1</v>
      </c>
      <c r="E49" s="54">
        <v>3.96</v>
      </c>
      <c r="F49" s="54">
        <v>3.96</v>
      </c>
      <c r="G49" s="109">
        <v>11</v>
      </c>
      <c r="H49" s="109">
        <f>ROW()</f>
        <v>49</v>
      </c>
    </row>
    <row r="50" spans="1:8" x14ac:dyDescent="0.25">
      <c r="A50">
        <v>1013</v>
      </c>
      <c r="B50" t="s">
        <v>125</v>
      </c>
      <c r="C50" t="s">
        <v>198</v>
      </c>
      <c r="D50">
        <v>1</v>
      </c>
      <c r="E50" s="54">
        <v>8.86</v>
      </c>
      <c r="F50" s="54">
        <v>8.86</v>
      </c>
      <c r="G50" s="109">
        <v>12</v>
      </c>
      <c r="H50" s="109">
        <f>ROW()</f>
        <v>50</v>
      </c>
    </row>
    <row r="51" spans="1:8" x14ac:dyDescent="0.25">
      <c r="A51">
        <v>1013</v>
      </c>
      <c r="B51" t="s">
        <v>110</v>
      </c>
      <c r="C51" t="s">
        <v>202</v>
      </c>
      <c r="D51">
        <v>1</v>
      </c>
      <c r="E51" s="54">
        <v>21.47</v>
      </c>
      <c r="F51" s="54">
        <v>21.47</v>
      </c>
      <c r="G51" s="109">
        <v>15</v>
      </c>
      <c r="H51" s="109">
        <f>ROW()</f>
        <v>51</v>
      </c>
    </row>
    <row r="52" spans="1:8" x14ac:dyDescent="0.25">
      <c r="G52" s="109"/>
      <c r="H52" s="109"/>
    </row>
    <row r="53" spans="1:8" x14ac:dyDescent="0.25">
      <c r="G53" s="109"/>
      <c r="H53" s="109"/>
    </row>
    <row r="54" spans="1:8" x14ac:dyDescent="0.25">
      <c r="G54" s="109"/>
      <c r="H54" s="109"/>
    </row>
    <row r="55" spans="1:8" x14ac:dyDescent="0.25">
      <c r="G55" s="109"/>
      <c r="H55" s="109"/>
    </row>
    <row r="56" spans="1:8" x14ac:dyDescent="0.25">
      <c r="G56" s="109"/>
      <c r="H56" s="109"/>
    </row>
    <row r="57" spans="1:8" x14ac:dyDescent="0.25">
      <c r="G57" s="109"/>
      <c r="H57" s="109"/>
    </row>
    <row r="58" spans="1:8" x14ac:dyDescent="0.25">
      <c r="G58" s="109"/>
      <c r="H58" s="109"/>
    </row>
    <row r="59" spans="1:8" x14ac:dyDescent="0.25">
      <c r="G59" s="109"/>
      <c r="H59" s="109"/>
    </row>
    <row r="60" spans="1:8" x14ac:dyDescent="0.25">
      <c r="G60" s="109"/>
      <c r="H60" s="109"/>
    </row>
    <row r="61" spans="1:8" x14ac:dyDescent="0.25">
      <c r="G61" s="109"/>
      <c r="H61" s="109"/>
    </row>
    <row r="62" spans="1:8" x14ac:dyDescent="0.25">
      <c r="G62" s="109"/>
      <c r="H62" s="109"/>
    </row>
    <row r="63" spans="1:8" x14ac:dyDescent="0.25">
      <c r="G63" s="109"/>
      <c r="H63" s="109"/>
    </row>
    <row r="64" spans="1:8" x14ac:dyDescent="0.25">
      <c r="G64" s="109"/>
      <c r="H64" s="109"/>
    </row>
    <row r="65" spans="7:8" x14ac:dyDescent="0.25">
      <c r="G65" s="109"/>
      <c r="H65" s="109"/>
    </row>
    <row r="66" spans="7:8" x14ac:dyDescent="0.25">
      <c r="G66" s="109"/>
      <c r="H66" s="109"/>
    </row>
    <row r="67" spans="7:8" x14ac:dyDescent="0.25">
      <c r="G67" s="109"/>
      <c r="H67" s="109"/>
    </row>
    <row r="68" spans="7:8" x14ac:dyDescent="0.25">
      <c r="G68" s="109"/>
      <c r="H68" s="109"/>
    </row>
    <row r="69" spans="7:8" x14ac:dyDescent="0.25">
      <c r="G69" s="109"/>
      <c r="H69" s="109"/>
    </row>
    <row r="70" spans="7:8" x14ac:dyDescent="0.25">
      <c r="G70" s="109"/>
      <c r="H70" s="109"/>
    </row>
    <row r="71" spans="7:8" x14ac:dyDescent="0.25">
      <c r="G71" s="109"/>
      <c r="H71" s="109"/>
    </row>
    <row r="72" spans="7:8" x14ac:dyDescent="0.25">
      <c r="G72" s="109"/>
      <c r="H72" s="109"/>
    </row>
    <row r="73" spans="7:8" x14ac:dyDescent="0.25">
      <c r="G73" s="109"/>
      <c r="H73" s="109"/>
    </row>
    <row r="74" spans="7:8" x14ac:dyDescent="0.25">
      <c r="G74" s="109"/>
      <c r="H74" s="109"/>
    </row>
    <row r="75" spans="7:8" x14ac:dyDescent="0.25">
      <c r="G75" s="109"/>
      <c r="H75" s="109"/>
    </row>
    <row r="76" spans="7:8" x14ac:dyDescent="0.25">
      <c r="G76" s="109"/>
      <c r="H76" s="109"/>
    </row>
    <row r="77" spans="7:8" x14ac:dyDescent="0.25">
      <c r="G77" s="109"/>
      <c r="H77" s="109"/>
    </row>
    <row r="78" spans="7:8" x14ac:dyDescent="0.25">
      <c r="G78" s="109"/>
      <c r="H78" s="109"/>
    </row>
    <row r="79" spans="7:8" x14ac:dyDescent="0.25">
      <c r="G79" s="109"/>
      <c r="H79" s="109"/>
    </row>
    <row r="80" spans="7:8" x14ac:dyDescent="0.25">
      <c r="G80" s="109"/>
      <c r="H80" s="109"/>
    </row>
    <row r="81" spans="7:8" x14ac:dyDescent="0.25">
      <c r="G81" s="109"/>
      <c r="H81" s="109"/>
    </row>
    <row r="82" spans="7:8" x14ac:dyDescent="0.25">
      <c r="G82" s="109"/>
      <c r="H82" s="109"/>
    </row>
    <row r="83" spans="7:8" x14ac:dyDescent="0.25">
      <c r="G83" s="109"/>
      <c r="H83" s="109"/>
    </row>
    <row r="84" spans="7:8" x14ac:dyDescent="0.25">
      <c r="G84" s="109"/>
      <c r="H84" s="109"/>
    </row>
    <row r="85" spans="7:8" x14ac:dyDescent="0.25">
      <c r="G85" s="109"/>
      <c r="H85" s="109"/>
    </row>
    <row r="86" spans="7:8" x14ac:dyDescent="0.25">
      <c r="G86" s="109"/>
      <c r="H86" s="109"/>
    </row>
    <row r="87" spans="7:8" x14ac:dyDescent="0.25">
      <c r="G87" s="109"/>
      <c r="H87" s="109"/>
    </row>
    <row r="88" spans="7:8" x14ac:dyDescent="0.25">
      <c r="G88" s="109"/>
      <c r="H88" s="109"/>
    </row>
    <row r="89" spans="7:8" x14ac:dyDescent="0.25">
      <c r="G89" s="109"/>
      <c r="H89" s="109"/>
    </row>
    <row r="90" spans="7:8" x14ac:dyDescent="0.25">
      <c r="G90" s="109"/>
      <c r="H90" s="109"/>
    </row>
    <row r="91" spans="7:8" x14ac:dyDescent="0.25">
      <c r="G91" s="109"/>
      <c r="H91" s="109"/>
    </row>
    <row r="92" spans="7:8" x14ac:dyDescent="0.25">
      <c r="G92" s="109"/>
      <c r="H92" s="109"/>
    </row>
    <row r="93" spans="7:8" x14ac:dyDescent="0.25">
      <c r="G93" s="109"/>
      <c r="H93" s="109"/>
    </row>
    <row r="94" spans="7:8" x14ac:dyDescent="0.25">
      <c r="G94" s="109"/>
      <c r="H94" s="109"/>
    </row>
    <row r="95" spans="7:8" x14ac:dyDescent="0.25">
      <c r="G95" s="109"/>
      <c r="H95" s="109"/>
    </row>
    <row r="96" spans="7:8" x14ac:dyDescent="0.25">
      <c r="G96" s="109"/>
      <c r="H96" s="109"/>
    </row>
    <row r="97" spans="7:8" x14ac:dyDescent="0.25">
      <c r="G97" s="109"/>
      <c r="H97" s="109"/>
    </row>
    <row r="98" spans="7:8" x14ac:dyDescent="0.25">
      <c r="G98" s="109"/>
      <c r="H98" s="109"/>
    </row>
    <row r="99" spans="7:8" x14ac:dyDescent="0.25">
      <c r="G99" s="109"/>
      <c r="H99" s="109"/>
    </row>
    <row r="100" spans="7:8" x14ac:dyDescent="0.25">
      <c r="G100" s="109"/>
      <c r="H100" s="109"/>
    </row>
    <row r="101" spans="7:8" x14ac:dyDescent="0.25">
      <c r="G101" s="109"/>
      <c r="H101" s="109"/>
    </row>
    <row r="102" spans="7:8" x14ac:dyDescent="0.25">
      <c r="G102" s="109"/>
      <c r="H102" s="109"/>
    </row>
    <row r="103" spans="7:8" x14ac:dyDescent="0.25">
      <c r="G103" s="109"/>
      <c r="H103" s="109"/>
    </row>
    <row r="104" spans="7:8" x14ac:dyDescent="0.25">
      <c r="G104" s="109"/>
      <c r="H104" s="109"/>
    </row>
    <row r="105" spans="7:8" x14ac:dyDescent="0.25">
      <c r="G105" s="109"/>
      <c r="H105" s="109"/>
    </row>
    <row r="106" spans="7:8" x14ac:dyDescent="0.25">
      <c r="G106" s="109"/>
      <c r="H106" s="109"/>
    </row>
    <row r="107" spans="7:8" x14ac:dyDescent="0.25">
      <c r="G107" s="109"/>
      <c r="H107" s="109"/>
    </row>
    <row r="108" spans="7:8" x14ac:dyDescent="0.25">
      <c r="G108" s="109"/>
      <c r="H108" s="109"/>
    </row>
    <row r="109" spans="7:8" x14ac:dyDescent="0.25">
      <c r="G109" s="109"/>
      <c r="H109" s="109"/>
    </row>
    <row r="110" spans="7:8" x14ac:dyDescent="0.25">
      <c r="G110" s="109"/>
      <c r="H110" s="109"/>
    </row>
    <row r="111" spans="7:8" x14ac:dyDescent="0.25">
      <c r="G111" s="109"/>
      <c r="H111" s="109"/>
    </row>
    <row r="112" spans="7:8" x14ac:dyDescent="0.25">
      <c r="G112" s="109"/>
      <c r="H112" s="109"/>
    </row>
    <row r="113" spans="7:8" x14ac:dyDescent="0.25">
      <c r="G113" s="109"/>
      <c r="H113" s="109"/>
    </row>
    <row r="114" spans="7:8" x14ac:dyDescent="0.25">
      <c r="G114" s="109"/>
      <c r="H114" s="109"/>
    </row>
    <row r="115" spans="7:8" x14ac:dyDescent="0.25">
      <c r="G115" s="109"/>
      <c r="H115" s="109"/>
    </row>
    <row r="116" spans="7:8" x14ac:dyDescent="0.25">
      <c r="G116" s="109"/>
      <c r="H116" s="109"/>
    </row>
    <row r="117" spans="7:8" x14ac:dyDescent="0.25">
      <c r="G117" s="109"/>
      <c r="H117" s="109"/>
    </row>
    <row r="118" spans="7:8" x14ac:dyDescent="0.25">
      <c r="G118" s="109"/>
      <c r="H118" s="109"/>
    </row>
    <row r="119" spans="7:8" x14ac:dyDescent="0.25">
      <c r="G119" s="109"/>
      <c r="H119" s="109"/>
    </row>
    <row r="120" spans="7:8" x14ac:dyDescent="0.25">
      <c r="G120" s="109"/>
      <c r="H120" s="109"/>
    </row>
    <row r="121" spans="7:8" x14ac:dyDescent="0.25">
      <c r="G121" s="109"/>
      <c r="H121" s="109"/>
    </row>
    <row r="122" spans="7:8" x14ac:dyDescent="0.25">
      <c r="G122" s="109"/>
      <c r="H122" s="109"/>
    </row>
    <row r="123" spans="7:8" x14ac:dyDescent="0.25">
      <c r="G123" s="109"/>
      <c r="H123" s="109"/>
    </row>
    <row r="124" spans="7:8" x14ac:dyDescent="0.25">
      <c r="G124" s="109"/>
      <c r="H124" s="109"/>
    </row>
    <row r="125" spans="7:8" x14ac:dyDescent="0.25">
      <c r="G125" s="109"/>
      <c r="H125" s="109"/>
    </row>
    <row r="126" spans="7:8" x14ac:dyDescent="0.25">
      <c r="G126" s="109"/>
      <c r="H126" s="109"/>
    </row>
    <row r="127" spans="7:8" x14ac:dyDescent="0.25">
      <c r="G127" s="109"/>
      <c r="H127" s="109"/>
    </row>
    <row r="128" spans="7:8" x14ac:dyDescent="0.25">
      <c r="G128" s="109"/>
      <c r="H128" s="109"/>
    </row>
    <row r="129" spans="7:8" x14ac:dyDescent="0.25">
      <c r="G129" s="109"/>
      <c r="H129" s="109"/>
    </row>
    <row r="130" spans="7:8" x14ac:dyDescent="0.25">
      <c r="G130" s="109"/>
      <c r="H130" s="109"/>
    </row>
    <row r="131" spans="7:8" x14ac:dyDescent="0.25">
      <c r="G131" s="109"/>
      <c r="H131" s="109"/>
    </row>
    <row r="132" spans="7:8" x14ac:dyDescent="0.25">
      <c r="G132" s="109"/>
      <c r="H132" s="109"/>
    </row>
    <row r="133" spans="7:8" x14ac:dyDescent="0.25">
      <c r="G133" s="109"/>
      <c r="H133" s="109"/>
    </row>
    <row r="134" spans="7:8" x14ac:dyDescent="0.25">
      <c r="G134" s="109"/>
      <c r="H134" s="109"/>
    </row>
    <row r="135" spans="7:8" x14ac:dyDescent="0.25">
      <c r="G135" s="109"/>
      <c r="H135" s="109"/>
    </row>
    <row r="136" spans="7:8" x14ac:dyDescent="0.25">
      <c r="G136" s="109"/>
      <c r="H136" s="109"/>
    </row>
    <row r="137" spans="7:8" x14ac:dyDescent="0.25">
      <c r="G137" s="109"/>
      <c r="H137" s="109"/>
    </row>
    <row r="138" spans="7:8" x14ac:dyDescent="0.25">
      <c r="G138" s="109"/>
      <c r="H138" s="109"/>
    </row>
    <row r="139" spans="7:8" x14ac:dyDescent="0.25">
      <c r="G139" s="109"/>
      <c r="H139" s="109"/>
    </row>
    <row r="140" spans="7:8" x14ac:dyDescent="0.25">
      <c r="G140" s="109"/>
      <c r="H140" s="109"/>
    </row>
    <row r="141" spans="7:8" x14ac:dyDescent="0.25">
      <c r="G141" s="109"/>
      <c r="H141" s="109"/>
    </row>
    <row r="142" spans="7:8" x14ac:dyDescent="0.25">
      <c r="G142" s="109"/>
      <c r="H142" s="109"/>
    </row>
    <row r="143" spans="7:8" x14ac:dyDescent="0.25">
      <c r="G143" s="109"/>
      <c r="H143" s="109"/>
    </row>
    <row r="144" spans="7:8" x14ac:dyDescent="0.25">
      <c r="G144" s="109"/>
      <c r="H144" s="109"/>
    </row>
    <row r="145" spans="7:8" x14ac:dyDescent="0.25">
      <c r="G145" s="109"/>
      <c r="H145" s="109"/>
    </row>
    <row r="146" spans="7:8" x14ac:dyDescent="0.25">
      <c r="G146" s="109"/>
      <c r="H146" s="109"/>
    </row>
    <row r="147" spans="7:8" x14ac:dyDescent="0.25">
      <c r="G147" s="109"/>
      <c r="H147" s="109"/>
    </row>
    <row r="148" spans="7:8" x14ac:dyDescent="0.25">
      <c r="G148" s="109"/>
      <c r="H148" s="109"/>
    </row>
    <row r="149" spans="7:8" x14ac:dyDescent="0.25">
      <c r="G149" s="109"/>
      <c r="H149" s="109"/>
    </row>
    <row r="150" spans="7:8" x14ac:dyDescent="0.25">
      <c r="G150" s="109"/>
      <c r="H150" s="109"/>
    </row>
    <row r="151" spans="7:8" x14ac:dyDescent="0.25">
      <c r="G151" s="109"/>
      <c r="H151" s="109"/>
    </row>
    <row r="152" spans="7:8" x14ac:dyDescent="0.25">
      <c r="G152" s="109"/>
      <c r="H152" s="109"/>
    </row>
    <row r="153" spans="7:8" x14ac:dyDescent="0.25">
      <c r="G153" s="109"/>
      <c r="H153" s="109"/>
    </row>
    <row r="154" spans="7:8" x14ac:dyDescent="0.25">
      <c r="G154" s="109"/>
      <c r="H154" s="109"/>
    </row>
    <row r="155" spans="7:8" x14ac:dyDescent="0.25">
      <c r="G155" s="109"/>
      <c r="H155" s="109"/>
    </row>
    <row r="156" spans="7:8" x14ac:dyDescent="0.25">
      <c r="G156" s="109"/>
      <c r="H156" s="109"/>
    </row>
    <row r="157" spans="7:8" x14ac:dyDescent="0.25">
      <c r="G157" s="109"/>
      <c r="H157" s="109"/>
    </row>
    <row r="158" spans="7:8" x14ac:dyDescent="0.25">
      <c r="G158" s="109"/>
      <c r="H158" s="109"/>
    </row>
    <row r="159" spans="7:8" x14ac:dyDescent="0.25">
      <c r="G159" s="109"/>
      <c r="H159" s="109"/>
    </row>
    <row r="160" spans="7:8" x14ac:dyDescent="0.25">
      <c r="G160" s="109"/>
      <c r="H160" s="109"/>
    </row>
    <row r="161" spans="7:8" x14ac:dyDescent="0.25">
      <c r="G161" s="109"/>
      <c r="H161" s="109"/>
    </row>
    <row r="162" spans="7:8" x14ac:dyDescent="0.25">
      <c r="G162" s="109"/>
      <c r="H162" s="109"/>
    </row>
    <row r="163" spans="7:8" x14ac:dyDescent="0.25">
      <c r="G163" s="109"/>
      <c r="H163" s="109"/>
    </row>
    <row r="164" spans="7:8" x14ac:dyDescent="0.25">
      <c r="G164" s="109"/>
      <c r="H164" s="109"/>
    </row>
    <row r="165" spans="7:8" x14ac:dyDescent="0.25">
      <c r="G165" s="109"/>
      <c r="H165" s="109"/>
    </row>
    <row r="166" spans="7:8" x14ac:dyDescent="0.25">
      <c r="G166" s="109"/>
      <c r="H166" s="109"/>
    </row>
    <row r="167" spans="7:8" x14ac:dyDescent="0.25">
      <c r="G167" s="109"/>
      <c r="H167" s="109"/>
    </row>
    <row r="168" spans="7:8" x14ac:dyDescent="0.25">
      <c r="G168" s="109"/>
      <c r="H168" s="109"/>
    </row>
    <row r="169" spans="7:8" x14ac:dyDescent="0.25">
      <c r="G169" s="109"/>
      <c r="H169" s="109"/>
    </row>
    <row r="170" spans="7:8" x14ac:dyDescent="0.25">
      <c r="G170" s="109"/>
      <c r="H170" s="109"/>
    </row>
    <row r="171" spans="7:8" x14ac:dyDescent="0.25">
      <c r="G171" s="109"/>
      <c r="H171" s="109"/>
    </row>
    <row r="172" spans="7:8" x14ac:dyDescent="0.25">
      <c r="G172" s="109"/>
      <c r="H172" s="109"/>
    </row>
  </sheetData>
  <mergeCells count="2">
    <mergeCell ref="A1:H1"/>
    <mergeCell ref="L1:S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Admin</vt:lpstr>
      <vt:lpstr>POS</vt:lpstr>
      <vt:lpstr>Products</vt:lpstr>
      <vt:lpstr>Orders</vt:lpstr>
      <vt:lpstr>Order Items</vt:lpstr>
      <vt:lpstr>Cashier</vt:lpstr>
      <vt:lpstr>'Order Items'!Criteria</vt:lpstr>
      <vt:lpstr>Products!Criteria</vt:lpstr>
      <vt:lpstr>'Order Items'!Extract</vt:lpstr>
      <vt:lpstr>Products!Extract</vt:lpstr>
      <vt:lpstr>FooterMess</vt:lpstr>
      <vt:lpstr>TaxName</vt:lpstr>
      <vt:lpstr>TaxRate</vt:lpstr>
      <vt:lpstr>Total</vt:lpstr>
      <vt:lpstr>TotalRange</vt:lpstr>
      <vt:lpstr>TotalRng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dcterms:created xsi:type="dcterms:W3CDTF">2021-09-14T06:22:32Z</dcterms:created>
  <dcterms:modified xsi:type="dcterms:W3CDTF">2021-09-19T06:09:39Z</dcterms:modified>
</cp:coreProperties>
</file>